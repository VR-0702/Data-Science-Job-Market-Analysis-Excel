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hidePivotFieldList="1" defaultThemeVersion="202300"/>
  <mc:AlternateContent xmlns:mc="http://schemas.openxmlformats.org/markup-compatibility/2006">
    <mc:Choice Requires="x15">
      <x15ac:absPath xmlns:x15ac="http://schemas.microsoft.com/office/spreadsheetml/2010/11/ac" url="/Users/vivekyadav/Downloads/"/>
    </mc:Choice>
  </mc:AlternateContent>
  <xr:revisionPtr revIDLastSave="0" documentId="8_{A7D197F0-29EA-5A4C-9ACB-11402DF8ADD6}" xr6:coauthVersionLast="47" xr6:coauthVersionMax="47" xr10:uidLastSave="{00000000-0000-0000-0000-000000000000}"/>
  <bookViews>
    <workbookView xWindow="0" yWindow="0" windowWidth="33600" windowHeight="21000" activeTab="6" xr2:uid="{A2AFA7FE-E6DB-4A46-95AE-89553EC37A21}"/>
    <workbookView xWindow="0" yWindow="0" windowWidth="33600" windowHeight="21000" activeTab="6" xr2:uid="{48EE80D4-D61B-714D-ADC0-D60E78F5757B}"/>
  </bookViews>
  <sheets>
    <sheet name="Salary_Analysis" sheetId="3" r:id="rId1"/>
    <sheet name="Experience_Analysis" sheetId="4" r:id="rId2"/>
    <sheet name="Location_Analysis" sheetId="5" r:id="rId3"/>
    <sheet name="Remote_Analysis" sheetId="6" r:id="rId4"/>
    <sheet name="Company_Size_Analysis" sheetId="7" r:id="rId5"/>
    <sheet name="Raw_data" sheetId="1" r:id="rId6"/>
    <sheet name="Dashboard" sheetId="2" r:id="rId7"/>
  </sheets>
  <definedNames>
    <definedName name="Slicer_Experience_Name">#N/A</definedName>
    <definedName name="Slicer_Remote_Type">#N/A</definedName>
    <definedName name="Slicer_work_year">#N/A</definedName>
  </definedNames>
  <calcPr calcId="191029"/>
  <pivotCaches>
    <pivotCache cacheId="17"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a="1"/>
  <c r="M3" i="1" s="1"/>
  <c r="M4" i="1" a="1"/>
  <c r="M4" i="1"/>
  <c r="M5" i="1" a="1"/>
  <c r="M5" i="1"/>
  <c r="M6" i="1" a="1"/>
  <c r="M6" i="1" s="1"/>
  <c r="M7" i="1" a="1"/>
  <c r="M7" i="1" s="1"/>
  <c r="M8" i="1" a="1"/>
  <c r="M8" i="1"/>
  <c r="M9" i="1" a="1"/>
  <c r="M9" i="1"/>
  <c r="M10" i="1" a="1"/>
  <c r="M10" i="1" s="1"/>
  <c r="M11" i="1" a="1"/>
  <c r="M11" i="1" s="1"/>
  <c r="M12" i="1" a="1"/>
  <c r="M12" i="1"/>
  <c r="M13" i="1" a="1"/>
  <c r="M13" i="1"/>
  <c r="M14" i="1" a="1"/>
  <c r="M14" i="1" s="1"/>
  <c r="M15" i="1" a="1"/>
  <c r="M15" i="1" s="1"/>
  <c r="M16" i="1" a="1"/>
  <c r="M16" i="1"/>
  <c r="M17" i="1" a="1"/>
  <c r="M17" i="1"/>
  <c r="M18" i="1" a="1"/>
  <c r="M18" i="1" s="1"/>
  <c r="M19" i="1" a="1"/>
  <c r="M19" i="1" s="1"/>
  <c r="M20" i="1" a="1"/>
  <c r="M20" i="1"/>
  <c r="M21" i="1" a="1"/>
  <c r="M21" i="1"/>
  <c r="M22" i="1" a="1"/>
  <c r="M22" i="1" s="1"/>
  <c r="M23" i="1" a="1"/>
  <c r="M23" i="1" s="1"/>
  <c r="M24" i="1" a="1"/>
  <c r="M24" i="1"/>
  <c r="M25" i="1" a="1"/>
  <c r="M25" i="1"/>
  <c r="M26" i="1" a="1"/>
  <c r="M26" i="1" s="1"/>
  <c r="M27" i="1" a="1"/>
  <c r="M27" i="1" s="1"/>
  <c r="M28" i="1" a="1"/>
  <c r="M28" i="1"/>
  <c r="M29" i="1" a="1"/>
  <c r="M29" i="1"/>
  <c r="M30" i="1" a="1"/>
  <c r="M30" i="1" s="1"/>
  <c r="M31" i="1" a="1"/>
  <c r="M31" i="1" s="1"/>
  <c r="M32" i="1" a="1"/>
  <c r="M32" i="1"/>
  <c r="M33" i="1" a="1"/>
  <c r="M33" i="1"/>
  <c r="M34" i="1" a="1"/>
  <c r="M34" i="1" s="1"/>
  <c r="M35" i="1" a="1"/>
  <c r="M35" i="1" s="1"/>
  <c r="M36" i="1" a="1"/>
  <c r="M36" i="1"/>
  <c r="M37" i="1" a="1"/>
  <c r="M37" i="1"/>
  <c r="M38" i="1" a="1"/>
  <c r="M38" i="1" s="1"/>
  <c r="M39" i="1" a="1"/>
  <c r="M39" i="1" s="1"/>
  <c r="M40" i="1" a="1"/>
  <c r="M40" i="1"/>
  <c r="M41" i="1" a="1"/>
  <c r="M41" i="1"/>
  <c r="M42" i="1" a="1"/>
  <c r="M42" i="1" s="1"/>
  <c r="M43" i="1" a="1"/>
  <c r="M43" i="1" s="1"/>
  <c r="M44" i="1" a="1"/>
  <c r="M44" i="1"/>
  <c r="M45" i="1" a="1"/>
  <c r="M45" i="1"/>
  <c r="M46" i="1" a="1"/>
  <c r="M46" i="1" s="1"/>
  <c r="M47" i="1" a="1"/>
  <c r="M47" i="1" s="1"/>
  <c r="M48" i="1" a="1"/>
  <c r="M48" i="1"/>
  <c r="M49" i="1" a="1"/>
  <c r="M49" i="1"/>
  <c r="M50" i="1" a="1"/>
  <c r="M50" i="1" s="1"/>
  <c r="M51" i="1" a="1"/>
  <c r="M51" i="1" s="1"/>
  <c r="M52" i="1" a="1"/>
  <c r="M52" i="1"/>
  <c r="M53" i="1" a="1"/>
  <c r="M53" i="1"/>
  <c r="M54" i="1" a="1"/>
  <c r="M54" i="1" s="1"/>
  <c r="M55" i="1" a="1"/>
  <c r="M55" i="1" s="1"/>
  <c r="M56" i="1" a="1"/>
  <c r="M56" i="1"/>
  <c r="M57" i="1" a="1"/>
  <c r="M57" i="1"/>
  <c r="M58" i="1" a="1"/>
  <c r="M58" i="1" s="1"/>
  <c r="M59" i="1" a="1"/>
  <c r="M59" i="1" s="1"/>
  <c r="M60" i="1" a="1"/>
  <c r="M60" i="1"/>
  <c r="M61" i="1" a="1"/>
  <c r="M61" i="1"/>
  <c r="M62" i="1" a="1"/>
  <c r="M62" i="1" s="1"/>
  <c r="M63" i="1" a="1"/>
  <c r="M63" i="1" s="1"/>
  <c r="M64" i="1" a="1"/>
  <c r="M64" i="1"/>
  <c r="M65" i="1" a="1"/>
  <c r="M65" i="1"/>
  <c r="M66" i="1" a="1"/>
  <c r="M66" i="1" s="1"/>
  <c r="M67" i="1" a="1"/>
  <c r="M67" i="1" s="1"/>
  <c r="M68" i="1" a="1"/>
  <c r="M68" i="1"/>
  <c r="M69" i="1" a="1"/>
  <c r="M69" i="1"/>
  <c r="M70" i="1" a="1"/>
  <c r="M70" i="1" s="1"/>
  <c r="M71" i="1" a="1"/>
  <c r="M71" i="1" s="1"/>
  <c r="M72" i="1" a="1"/>
  <c r="M72" i="1"/>
  <c r="M73" i="1" a="1"/>
  <c r="M73" i="1" s="1"/>
  <c r="M74" i="1" a="1"/>
  <c r="M74" i="1" s="1"/>
  <c r="M75" i="1" a="1"/>
  <c r="M75" i="1" s="1"/>
  <c r="M76" i="1" a="1"/>
  <c r="M76" i="1"/>
  <c r="M77" i="1" a="1"/>
  <c r="M77" i="1"/>
  <c r="M78" i="1" a="1"/>
  <c r="M78" i="1" s="1"/>
  <c r="M79" i="1" a="1"/>
  <c r="M79" i="1" s="1"/>
  <c r="M80" i="1" a="1"/>
  <c r="M80" i="1"/>
  <c r="M81" i="1" a="1"/>
  <c r="M81" i="1"/>
  <c r="M82" i="1" a="1"/>
  <c r="M82" i="1" s="1"/>
  <c r="M83" i="1" a="1"/>
  <c r="M83" i="1" s="1"/>
  <c r="M84" i="1" a="1"/>
  <c r="M84" i="1"/>
  <c r="M85" i="1" a="1"/>
  <c r="M85" i="1"/>
  <c r="M86" i="1" a="1"/>
  <c r="M86" i="1" s="1"/>
  <c r="M87" i="1" a="1"/>
  <c r="M87" i="1" s="1"/>
  <c r="M88" i="1" a="1"/>
  <c r="M88" i="1"/>
  <c r="M89" i="1" a="1"/>
  <c r="M89" i="1"/>
  <c r="M90" i="1" a="1"/>
  <c r="M90" i="1" s="1"/>
  <c r="M91" i="1" a="1"/>
  <c r="M91" i="1" s="1"/>
  <c r="M92" i="1" a="1"/>
  <c r="M92" i="1"/>
  <c r="M93" i="1" a="1"/>
  <c r="M93" i="1"/>
  <c r="M94" i="1" a="1"/>
  <c r="M94" i="1" s="1"/>
  <c r="M95" i="1" a="1"/>
  <c r="M95" i="1" s="1"/>
  <c r="M96" i="1" a="1"/>
  <c r="M96" i="1"/>
  <c r="M97" i="1" a="1"/>
  <c r="M97" i="1"/>
  <c r="M98" i="1" a="1"/>
  <c r="M98" i="1" s="1"/>
  <c r="M99" i="1" a="1"/>
  <c r="M99" i="1" s="1"/>
  <c r="M100" i="1" a="1"/>
  <c r="M100" i="1"/>
  <c r="M101" i="1" a="1"/>
  <c r="M101" i="1"/>
  <c r="M102" i="1" a="1"/>
  <c r="M102" i="1" s="1"/>
  <c r="M103" i="1" a="1"/>
  <c r="M103" i="1" s="1"/>
  <c r="M104" i="1" a="1"/>
  <c r="M104" i="1"/>
  <c r="M105" i="1" a="1"/>
  <c r="M105" i="1"/>
  <c r="M106" i="1" a="1"/>
  <c r="M106" i="1" s="1"/>
  <c r="M107" i="1" a="1"/>
  <c r="M107" i="1" s="1"/>
  <c r="M108" i="1" a="1"/>
  <c r="M108" i="1"/>
  <c r="M109" i="1" a="1"/>
  <c r="M109" i="1"/>
  <c r="M110" i="1" a="1"/>
  <c r="M110" i="1" s="1"/>
  <c r="M111" i="1" a="1"/>
  <c r="M111" i="1" s="1"/>
  <c r="M112" i="1" a="1"/>
  <c r="M112" i="1"/>
  <c r="M113" i="1" a="1"/>
  <c r="M113" i="1"/>
  <c r="M114" i="1" a="1"/>
  <c r="M114" i="1" s="1"/>
  <c r="M115" i="1" a="1"/>
  <c r="M115" i="1" s="1"/>
  <c r="M116" i="1" a="1"/>
  <c r="M116" i="1"/>
  <c r="M117" i="1" a="1"/>
  <c r="M117" i="1"/>
  <c r="M118" i="1" a="1"/>
  <c r="M118" i="1" s="1"/>
  <c r="M119" i="1" a="1"/>
  <c r="M119" i="1" s="1"/>
  <c r="M120" i="1" a="1"/>
  <c r="M120" i="1"/>
  <c r="M121" i="1" a="1"/>
  <c r="M121" i="1"/>
  <c r="M122" i="1" a="1"/>
  <c r="M122" i="1" s="1"/>
  <c r="M123" i="1" a="1"/>
  <c r="M123" i="1" s="1"/>
  <c r="M124" i="1" a="1"/>
  <c r="M124" i="1"/>
  <c r="M125" i="1" a="1"/>
  <c r="M125" i="1"/>
  <c r="M126" i="1" a="1"/>
  <c r="M126" i="1" s="1"/>
  <c r="M127" i="1" a="1"/>
  <c r="M127" i="1" s="1"/>
  <c r="M128" i="1" a="1"/>
  <c r="M128" i="1"/>
  <c r="M129" i="1" a="1"/>
  <c r="M129" i="1"/>
  <c r="M130" i="1" a="1"/>
  <c r="M130" i="1" s="1"/>
  <c r="M131" i="1" a="1"/>
  <c r="M131" i="1" s="1"/>
  <c r="M132" i="1" a="1"/>
  <c r="M132" i="1"/>
  <c r="M133" i="1" a="1"/>
  <c r="M133" i="1"/>
  <c r="M134" i="1" a="1"/>
  <c r="M134" i="1" s="1"/>
  <c r="M135" i="1" a="1"/>
  <c r="M135" i="1" s="1"/>
  <c r="M136" i="1" a="1"/>
  <c r="M136" i="1"/>
  <c r="M137" i="1" a="1"/>
  <c r="M137" i="1"/>
  <c r="M138" i="1" a="1"/>
  <c r="M138" i="1" s="1"/>
  <c r="M139" i="1" a="1"/>
  <c r="M139" i="1" s="1"/>
  <c r="M140" i="1" a="1"/>
  <c r="M140" i="1"/>
  <c r="M141" i="1" a="1"/>
  <c r="M141" i="1"/>
  <c r="M142" i="1" a="1"/>
  <c r="M142" i="1" s="1"/>
  <c r="M143" i="1" a="1"/>
  <c r="M143" i="1" s="1"/>
  <c r="M144" i="1" a="1"/>
  <c r="M144" i="1"/>
  <c r="M145" i="1" a="1"/>
  <c r="M145" i="1"/>
  <c r="M146" i="1" a="1"/>
  <c r="M146" i="1" s="1"/>
  <c r="M147" i="1" a="1"/>
  <c r="M147" i="1" s="1"/>
  <c r="M148" i="1" a="1"/>
  <c r="M148" i="1"/>
  <c r="M149" i="1" a="1"/>
  <c r="M149" i="1"/>
  <c r="M150" i="1" a="1"/>
  <c r="M150" i="1" s="1"/>
  <c r="M151" i="1" a="1"/>
  <c r="M151" i="1" s="1"/>
  <c r="M152" i="1" a="1"/>
  <c r="M152" i="1"/>
  <c r="M153" i="1" a="1"/>
  <c r="M153" i="1"/>
  <c r="M154" i="1" a="1"/>
  <c r="M154" i="1" s="1"/>
  <c r="M155" i="1" a="1"/>
  <c r="M155" i="1" s="1"/>
  <c r="M156" i="1" a="1"/>
  <c r="M156" i="1"/>
  <c r="M157" i="1" a="1"/>
  <c r="M157" i="1"/>
  <c r="M158" i="1" a="1"/>
  <c r="M158" i="1" s="1"/>
  <c r="M159" i="1" a="1"/>
  <c r="M159" i="1" s="1"/>
  <c r="M160" i="1" a="1"/>
  <c r="M160" i="1"/>
  <c r="M161" i="1" a="1"/>
  <c r="M161" i="1"/>
  <c r="M162" i="1" a="1"/>
  <c r="M162" i="1" s="1"/>
  <c r="M163" i="1" a="1"/>
  <c r="M163" i="1" s="1"/>
  <c r="M164" i="1" a="1"/>
  <c r="M164" i="1"/>
  <c r="M165" i="1" a="1"/>
  <c r="M165" i="1"/>
  <c r="M166" i="1" a="1"/>
  <c r="M166" i="1" s="1"/>
  <c r="M167" i="1" a="1"/>
  <c r="M167" i="1" s="1"/>
  <c r="M168" i="1" a="1"/>
  <c r="M168" i="1"/>
  <c r="M169" i="1" a="1"/>
  <c r="M169" i="1"/>
  <c r="M170" i="1" a="1"/>
  <c r="M170" i="1" s="1"/>
  <c r="M171" i="1" a="1"/>
  <c r="M171" i="1" s="1"/>
  <c r="M172" i="1" a="1"/>
  <c r="M172" i="1"/>
  <c r="M173" i="1" a="1"/>
  <c r="M173" i="1"/>
  <c r="M174" i="1" a="1"/>
  <c r="M174" i="1" s="1"/>
  <c r="M175" i="1" a="1"/>
  <c r="M175" i="1" s="1"/>
  <c r="M176" i="1" a="1"/>
  <c r="M176" i="1"/>
  <c r="M177" i="1" a="1"/>
  <c r="M177" i="1"/>
  <c r="M178" i="1" a="1"/>
  <c r="M178" i="1" s="1"/>
  <c r="M179" i="1" a="1"/>
  <c r="M179" i="1" s="1"/>
  <c r="M180" i="1" a="1"/>
  <c r="M180" i="1"/>
  <c r="M181" i="1" a="1"/>
  <c r="M181" i="1"/>
  <c r="M182" i="1" a="1"/>
  <c r="M182" i="1" s="1"/>
  <c r="M183" i="1" a="1"/>
  <c r="M183" i="1" s="1"/>
  <c r="M184" i="1" a="1"/>
  <c r="M184" i="1"/>
  <c r="M185" i="1" a="1"/>
  <c r="M185" i="1"/>
  <c r="M186" i="1" a="1"/>
  <c r="M186" i="1" s="1"/>
  <c r="M187" i="1" a="1"/>
  <c r="M187" i="1" s="1"/>
  <c r="M188" i="1" a="1"/>
  <c r="M188" i="1"/>
  <c r="M189" i="1" a="1"/>
  <c r="M189" i="1"/>
  <c r="M190" i="1" a="1"/>
  <c r="M190" i="1" s="1"/>
  <c r="M191" i="1" a="1"/>
  <c r="M191" i="1" s="1"/>
  <c r="M192" i="1" a="1"/>
  <c r="M192" i="1"/>
  <c r="M193" i="1" a="1"/>
  <c r="M193" i="1"/>
  <c r="M194" i="1" a="1"/>
  <c r="M194" i="1" s="1"/>
  <c r="M195" i="1" a="1"/>
  <c r="M195" i="1" s="1"/>
  <c r="M196" i="1" a="1"/>
  <c r="M196" i="1"/>
  <c r="M197" i="1" a="1"/>
  <c r="M197" i="1"/>
  <c r="M198" i="1" a="1"/>
  <c r="M198" i="1" s="1"/>
  <c r="M199" i="1" a="1"/>
  <c r="M199" i="1" s="1"/>
  <c r="M200" i="1" a="1"/>
  <c r="M200" i="1"/>
  <c r="M201" i="1" a="1"/>
  <c r="M201" i="1"/>
  <c r="M202" i="1" a="1"/>
  <c r="M202" i="1" s="1"/>
  <c r="M203" i="1" a="1"/>
  <c r="M203" i="1" s="1"/>
  <c r="M204" i="1" a="1"/>
  <c r="M204" i="1"/>
  <c r="M205" i="1" a="1"/>
  <c r="M205" i="1"/>
  <c r="M206" i="1" a="1"/>
  <c r="M206" i="1" s="1"/>
  <c r="M207" i="1" a="1"/>
  <c r="M207" i="1" s="1"/>
  <c r="M208" i="1" a="1"/>
  <c r="M208" i="1"/>
  <c r="M209" i="1" a="1"/>
  <c r="M209" i="1"/>
  <c r="M210" i="1" a="1"/>
  <c r="M210" i="1" s="1"/>
  <c r="M211" i="1" a="1"/>
  <c r="M211" i="1" s="1"/>
  <c r="M212" i="1" a="1"/>
  <c r="M212" i="1"/>
  <c r="M213" i="1" a="1"/>
  <c r="M213" i="1"/>
  <c r="M214" i="1" a="1"/>
  <c r="M214" i="1" s="1"/>
  <c r="M215" i="1" a="1"/>
  <c r="M215" i="1" s="1"/>
  <c r="M216" i="1" a="1"/>
  <c r="M216" i="1"/>
  <c r="M217" i="1" a="1"/>
  <c r="M217" i="1"/>
  <c r="M218" i="1" a="1"/>
  <c r="M218" i="1" s="1"/>
  <c r="M219" i="1" a="1"/>
  <c r="M219" i="1" s="1"/>
  <c r="M220" i="1" a="1"/>
  <c r="M220" i="1"/>
  <c r="M221" i="1" a="1"/>
  <c r="M221" i="1"/>
  <c r="M222" i="1" a="1"/>
  <c r="M222" i="1" s="1"/>
  <c r="M223" i="1" a="1"/>
  <c r="M223" i="1" s="1"/>
  <c r="M224" i="1" a="1"/>
  <c r="M224" i="1"/>
  <c r="M225" i="1" a="1"/>
  <c r="M225" i="1"/>
  <c r="M226" i="1" a="1"/>
  <c r="M226" i="1" s="1"/>
  <c r="M227" i="1" a="1"/>
  <c r="M227" i="1" s="1"/>
  <c r="M228" i="1" a="1"/>
  <c r="M228" i="1"/>
  <c r="M229" i="1" a="1"/>
  <c r="M229" i="1"/>
  <c r="M230" i="1" a="1"/>
  <c r="M230" i="1" s="1"/>
  <c r="M231" i="1" a="1"/>
  <c r="M231" i="1" s="1"/>
  <c r="M232" i="1" a="1"/>
  <c r="M232" i="1"/>
  <c r="M233" i="1" a="1"/>
  <c r="M233" i="1"/>
  <c r="M234" i="1" a="1"/>
  <c r="M234" i="1" s="1"/>
  <c r="M235" i="1" a="1"/>
  <c r="M235" i="1" s="1"/>
  <c r="M236" i="1" a="1"/>
  <c r="M236" i="1"/>
  <c r="M237" i="1" a="1"/>
  <c r="M237" i="1"/>
  <c r="M238" i="1" a="1"/>
  <c r="M238" i="1" s="1"/>
  <c r="M239" i="1" a="1"/>
  <c r="M239" i="1" s="1"/>
  <c r="M240" i="1" a="1"/>
  <c r="M240" i="1"/>
  <c r="M241" i="1" a="1"/>
  <c r="M241" i="1"/>
  <c r="M242" i="1" a="1"/>
  <c r="M242" i="1" s="1"/>
  <c r="M243" i="1" a="1"/>
  <c r="M243" i="1" s="1"/>
  <c r="M244" i="1" a="1"/>
  <c r="M244" i="1"/>
  <c r="M245" i="1" a="1"/>
  <c r="M245" i="1"/>
  <c r="M2" i="1" a="1"/>
  <c r="M2" i="1" s="1"/>
  <c r="L3" i="1" a="1"/>
  <c r="L3" i="1" s="1"/>
  <c r="L4" i="1" a="1"/>
  <c r="L4" i="1"/>
  <c r="L5" i="1" a="1"/>
  <c r="L5" i="1" s="1"/>
  <c r="L6" i="1" a="1"/>
  <c r="L6" i="1" s="1"/>
  <c r="L7" i="1" a="1"/>
  <c r="L7" i="1" s="1"/>
  <c r="L8" i="1" a="1"/>
  <c r="L8" i="1"/>
  <c r="L9" i="1" a="1"/>
  <c r="L9" i="1"/>
  <c r="L10" i="1" a="1"/>
  <c r="L10" i="1" s="1"/>
  <c r="L11" i="1" a="1"/>
  <c r="L11" i="1" s="1"/>
  <c r="L12" i="1" a="1"/>
  <c r="L12" i="1"/>
  <c r="L13" i="1" a="1"/>
  <c r="L13" i="1"/>
  <c r="L14" i="1" a="1"/>
  <c r="L14" i="1" s="1"/>
  <c r="L15" i="1" a="1"/>
  <c r="L15" i="1" s="1"/>
  <c r="L16" i="1" a="1"/>
  <c r="L16" i="1"/>
  <c r="L17" i="1" a="1"/>
  <c r="L17" i="1"/>
  <c r="L18" i="1" a="1"/>
  <c r="L18" i="1" s="1"/>
  <c r="L19" i="1" a="1"/>
  <c r="L19" i="1" s="1"/>
  <c r="L20" i="1" a="1"/>
  <c r="L20" i="1"/>
  <c r="L21" i="1" a="1"/>
  <c r="L21" i="1"/>
  <c r="L22" i="1" a="1"/>
  <c r="L22" i="1" s="1"/>
  <c r="L23" i="1" a="1"/>
  <c r="L23" i="1" s="1"/>
  <c r="L24" i="1" a="1"/>
  <c r="L24" i="1"/>
  <c r="L25" i="1" a="1"/>
  <c r="L25" i="1"/>
  <c r="L26" i="1" a="1"/>
  <c r="L26" i="1" s="1"/>
  <c r="L27" i="1" a="1"/>
  <c r="L27" i="1" s="1"/>
  <c r="L28" i="1" a="1"/>
  <c r="L28" i="1"/>
  <c r="L29" i="1" a="1"/>
  <c r="L29" i="1"/>
  <c r="L30" i="1" a="1"/>
  <c r="L30" i="1" s="1"/>
  <c r="L31" i="1" a="1"/>
  <c r="L31" i="1" s="1"/>
  <c r="L32" i="1" a="1"/>
  <c r="L32" i="1"/>
  <c r="L33" i="1" a="1"/>
  <c r="L33" i="1"/>
  <c r="L34" i="1" a="1"/>
  <c r="L34" i="1" s="1"/>
  <c r="L35" i="1" a="1"/>
  <c r="L35" i="1" s="1"/>
  <c r="L36" i="1" a="1"/>
  <c r="L36" i="1"/>
  <c r="L37" i="1" a="1"/>
  <c r="L37" i="1"/>
  <c r="L38" i="1" a="1"/>
  <c r="L38" i="1" s="1"/>
  <c r="L39" i="1" a="1"/>
  <c r="L39" i="1" s="1"/>
  <c r="L40" i="1" a="1"/>
  <c r="L40" i="1"/>
  <c r="L41" i="1" a="1"/>
  <c r="L41" i="1"/>
  <c r="L42" i="1" a="1"/>
  <c r="L42" i="1" s="1"/>
  <c r="L43" i="1" a="1"/>
  <c r="L43" i="1" s="1"/>
  <c r="L44" i="1" a="1"/>
  <c r="L44" i="1"/>
  <c r="L45" i="1" a="1"/>
  <c r="L45" i="1"/>
  <c r="L46" i="1" a="1"/>
  <c r="L46" i="1" s="1"/>
  <c r="L47" i="1" a="1"/>
  <c r="L47" i="1" s="1"/>
  <c r="L48" i="1" a="1"/>
  <c r="L48" i="1"/>
  <c r="L49" i="1" a="1"/>
  <c r="L49" i="1"/>
  <c r="L50" i="1" a="1"/>
  <c r="L50" i="1" s="1"/>
  <c r="L51" i="1" a="1"/>
  <c r="L51" i="1" s="1"/>
  <c r="L52" i="1" a="1"/>
  <c r="L52" i="1"/>
  <c r="L53" i="1" a="1"/>
  <c r="L53" i="1"/>
  <c r="L54" i="1" a="1"/>
  <c r="L54" i="1" s="1"/>
  <c r="L55" i="1" a="1"/>
  <c r="L55" i="1" s="1"/>
  <c r="L56" i="1" a="1"/>
  <c r="L56" i="1"/>
  <c r="L57" i="1" a="1"/>
  <c r="L57" i="1"/>
  <c r="L58" i="1" a="1"/>
  <c r="L58" i="1" s="1"/>
  <c r="L59" i="1" a="1"/>
  <c r="L59" i="1" s="1"/>
  <c r="L60" i="1" a="1"/>
  <c r="L60" i="1"/>
  <c r="L61" i="1" a="1"/>
  <c r="L61" i="1"/>
  <c r="L62" i="1" a="1"/>
  <c r="L62" i="1" s="1"/>
  <c r="L63" i="1" a="1"/>
  <c r="L63" i="1" s="1"/>
  <c r="L64" i="1" a="1"/>
  <c r="L64" i="1"/>
  <c r="L65" i="1" a="1"/>
  <c r="L65" i="1"/>
  <c r="L66" i="1" a="1"/>
  <c r="L66" i="1" s="1"/>
  <c r="L67" i="1" a="1"/>
  <c r="L67" i="1" s="1"/>
  <c r="L68" i="1" a="1"/>
  <c r="L68" i="1"/>
  <c r="L69" i="1" a="1"/>
  <c r="L69" i="1"/>
  <c r="L70" i="1" a="1"/>
  <c r="L70" i="1" s="1"/>
  <c r="L71" i="1" a="1"/>
  <c r="L71" i="1" s="1"/>
  <c r="L72" i="1" a="1"/>
  <c r="L72" i="1"/>
  <c r="L73" i="1" a="1"/>
  <c r="L73" i="1"/>
  <c r="L74" i="1" a="1"/>
  <c r="L74" i="1" s="1"/>
  <c r="L75" i="1" a="1"/>
  <c r="L75" i="1" s="1"/>
  <c r="L76" i="1" a="1"/>
  <c r="L76" i="1"/>
  <c r="L77" i="1" a="1"/>
  <c r="L77" i="1"/>
  <c r="L78" i="1" a="1"/>
  <c r="L78" i="1" s="1"/>
  <c r="L79" i="1" a="1"/>
  <c r="L79" i="1" s="1"/>
  <c r="L80" i="1" a="1"/>
  <c r="L80" i="1"/>
  <c r="L81" i="1" a="1"/>
  <c r="L81" i="1"/>
  <c r="L82" i="1" a="1"/>
  <c r="L82" i="1" s="1"/>
  <c r="L83" i="1" a="1"/>
  <c r="L83" i="1" s="1"/>
  <c r="L84" i="1" a="1"/>
  <c r="L84" i="1"/>
  <c r="L85" i="1" a="1"/>
  <c r="L85" i="1"/>
  <c r="L86" i="1" a="1"/>
  <c r="L86" i="1" s="1"/>
  <c r="L87" i="1" a="1"/>
  <c r="L87" i="1" s="1"/>
  <c r="L88" i="1" a="1"/>
  <c r="L88" i="1"/>
  <c r="L89" i="1" a="1"/>
  <c r="L89" i="1"/>
  <c r="L90" i="1" a="1"/>
  <c r="L90" i="1" s="1"/>
  <c r="L91" i="1" a="1"/>
  <c r="L91" i="1" s="1"/>
  <c r="L92" i="1" a="1"/>
  <c r="L92" i="1"/>
  <c r="L93" i="1" a="1"/>
  <c r="L93" i="1"/>
  <c r="L94" i="1" a="1"/>
  <c r="L94" i="1" s="1"/>
  <c r="L95" i="1" a="1"/>
  <c r="L95" i="1" s="1"/>
  <c r="L96" i="1" a="1"/>
  <c r="L96" i="1"/>
  <c r="L97" i="1" a="1"/>
  <c r="L97" i="1"/>
  <c r="L98" i="1" a="1"/>
  <c r="L98" i="1" s="1"/>
  <c r="L99" i="1" a="1"/>
  <c r="L99" i="1" s="1"/>
  <c r="L100" i="1" a="1"/>
  <c r="L100" i="1"/>
  <c r="L101" i="1" a="1"/>
  <c r="L101" i="1"/>
  <c r="L102" i="1" a="1"/>
  <c r="L102" i="1" s="1"/>
  <c r="L103" i="1" a="1"/>
  <c r="L103" i="1" s="1"/>
  <c r="L104" i="1" a="1"/>
  <c r="L104" i="1"/>
  <c r="L105" i="1" a="1"/>
  <c r="L105" i="1"/>
  <c r="L106" i="1" a="1"/>
  <c r="L106" i="1" s="1"/>
  <c r="L107" i="1" a="1"/>
  <c r="L107" i="1" s="1"/>
  <c r="L108" i="1" a="1"/>
  <c r="L108" i="1"/>
  <c r="L109" i="1" a="1"/>
  <c r="L109" i="1"/>
  <c r="L110" i="1" a="1"/>
  <c r="L110" i="1" s="1"/>
  <c r="L111" i="1" a="1"/>
  <c r="L111" i="1" s="1"/>
  <c r="L112" i="1" a="1"/>
  <c r="L112" i="1"/>
  <c r="L113" i="1" a="1"/>
  <c r="L113" i="1"/>
  <c r="L114" i="1" a="1"/>
  <c r="L114" i="1" s="1"/>
  <c r="L115" i="1" a="1"/>
  <c r="L115" i="1" s="1"/>
  <c r="L116" i="1" a="1"/>
  <c r="L116" i="1"/>
  <c r="L117" i="1" a="1"/>
  <c r="L117" i="1"/>
  <c r="L118" i="1" a="1"/>
  <c r="L118" i="1" s="1"/>
  <c r="L119" i="1" a="1"/>
  <c r="L119" i="1" s="1"/>
  <c r="L120" i="1" a="1"/>
  <c r="L120" i="1"/>
  <c r="L121" i="1" a="1"/>
  <c r="L121" i="1"/>
  <c r="L122" i="1" a="1"/>
  <c r="L122" i="1" s="1"/>
  <c r="L123" i="1" a="1"/>
  <c r="L123" i="1" s="1"/>
  <c r="L124" i="1" a="1"/>
  <c r="L124" i="1"/>
  <c r="L125" i="1" a="1"/>
  <c r="L125" i="1"/>
  <c r="L126" i="1" a="1"/>
  <c r="L126" i="1" s="1"/>
  <c r="L127" i="1" a="1"/>
  <c r="L127" i="1" s="1"/>
  <c r="L128" i="1" a="1"/>
  <c r="L128" i="1"/>
  <c r="L129" i="1" a="1"/>
  <c r="L129" i="1"/>
  <c r="L130" i="1" a="1"/>
  <c r="L130" i="1" s="1"/>
  <c r="L131" i="1" a="1"/>
  <c r="L131" i="1" s="1"/>
  <c r="L132" i="1" a="1"/>
  <c r="L132" i="1"/>
  <c r="L133" i="1" a="1"/>
  <c r="L133" i="1"/>
  <c r="L134" i="1" a="1"/>
  <c r="L134" i="1" s="1"/>
  <c r="L135" i="1" a="1"/>
  <c r="L135" i="1" s="1"/>
  <c r="L136" i="1" a="1"/>
  <c r="L136" i="1"/>
  <c r="L137" i="1" a="1"/>
  <c r="L137" i="1"/>
  <c r="L138" i="1" a="1"/>
  <c r="L138" i="1" s="1"/>
  <c r="L139" i="1" a="1"/>
  <c r="L139" i="1" s="1"/>
  <c r="L140" i="1" a="1"/>
  <c r="L140" i="1"/>
  <c r="L141" i="1" a="1"/>
  <c r="L141" i="1"/>
  <c r="L142" i="1" a="1"/>
  <c r="L142" i="1" s="1"/>
  <c r="L143" i="1" a="1"/>
  <c r="L143" i="1" s="1"/>
  <c r="L144" i="1" a="1"/>
  <c r="L144" i="1"/>
  <c r="L145" i="1" a="1"/>
  <c r="L145" i="1"/>
  <c r="L146" i="1" a="1"/>
  <c r="L146" i="1" s="1"/>
  <c r="L147" i="1" a="1"/>
  <c r="L147" i="1" s="1"/>
  <c r="L148" i="1" a="1"/>
  <c r="L148" i="1"/>
  <c r="L149" i="1" a="1"/>
  <c r="L149" i="1"/>
  <c r="L150" i="1" a="1"/>
  <c r="L150" i="1" s="1"/>
  <c r="L151" i="1" a="1"/>
  <c r="L151" i="1" s="1"/>
  <c r="L152" i="1" a="1"/>
  <c r="L152" i="1"/>
  <c r="L153" i="1" a="1"/>
  <c r="L153" i="1"/>
  <c r="L154" i="1" a="1"/>
  <c r="L154" i="1" s="1"/>
  <c r="L155" i="1" a="1"/>
  <c r="L155" i="1" s="1"/>
  <c r="L156" i="1" a="1"/>
  <c r="L156" i="1"/>
  <c r="L157" i="1" a="1"/>
  <c r="L157" i="1"/>
  <c r="L158" i="1" a="1"/>
  <c r="L158" i="1" s="1"/>
  <c r="L159" i="1" a="1"/>
  <c r="L159" i="1" s="1"/>
  <c r="L160" i="1" a="1"/>
  <c r="L160" i="1"/>
  <c r="L161" i="1" a="1"/>
  <c r="L161" i="1"/>
  <c r="L162" i="1" a="1"/>
  <c r="L162" i="1" s="1"/>
  <c r="L163" i="1" a="1"/>
  <c r="L163" i="1" s="1"/>
  <c r="L164" i="1" a="1"/>
  <c r="L164" i="1"/>
  <c r="L165" i="1" a="1"/>
  <c r="L165" i="1"/>
  <c r="L166" i="1" a="1"/>
  <c r="L166" i="1" s="1"/>
  <c r="L167" i="1" a="1"/>
  <c r="L167" i="1" s="1"/>
  <c r="L168" i="1" a="1"/>
  <c r="L168" i="1"/>
  <c r="L169" i="1" a="1"/>
  <c r="L169" i="1"/>
  <c r="L170" i="1" a="1"/>
  <c r="L170" i="1" s="1"/>
  <c r="L171" i="1" a="1"/>
  <c r="L171" i="1" s="1"/>
  <c r="L172" i="1" a="1"/>
  <c r="L172" i="1"/>
  <c r="L173" i="1" a="1"/>
  <c r="L173" i="1"/>
  <c r="L174" i="1" a="1"/>
  <c r="L174" i="1" s="1"/>
  <c r="L175" i="1" a="1"/>
  <c r="L175" i="1" s="1"/>
  <c r="L176" i="1" a="1"/>
  <c r="L176" i="1"/>
  <c r="L177" i="1" a="1"/>
  <c r="L177" i="1"/>
  <c r="L178" i="1" a="1"/>
  <c r="L178" i="1" s="1"/>
  <c r="L179" i="1" a="1"/>
  <c r="L179" i="1" s="1"/>
  <c r="L180" i="1" a="1"/>
  <c r="L180" i="1"/>
  <c r="L181" i="1" a="1"/>
  <c r="L181" i="1"/>
  <c r="L182" i="1" a="1"/>
  <c r="L182" i="1" s="1"/>
  <c r="L183" i="1" a="1"/>
  <c r="L183" i="1" s="1"/>
  <c r="L184" i="1" a="1"/>
  <c r="L184" i="1"/>
  <c r="L185" i="1" a="1"/>
  <c r="L185" i="1"/>
  <c r="L186" i="1" a="1"/>
  <c r="L186" i="1" s="1"/>
  <c r="L187" i="1" a="1"/>
  <c r="L187" i="1" s="1"/>
  <c r="L188" i="1" a="1"/>
  <c r="L188" i="1"/>
  <c r="L189" i="1" a="1"/>
  <c r="L189" i="1"/>
  <c r="L190" i="1" a="1"/>
  <c r="L190" i="1" s="1"/>
  <c r="L191" i="1" a="1"/>
  <c r="L191" i="1" s="1"/>
  <c r="L192" i="1" a="1"/>
  <c r="L192" i="1"/>
  <c r="L193" i="1" a="1"/>
  <c r="L193" i="1"/>
  <c r="L194" i="1" a="1"/>
  <c r="L194" i="1" s="1"/>
  <c r="L195" i="1" a="1"/>
  <c r="L195" i="1" s="1"/>
  <c r="L196" i="1" a="1"/>
  <c r="L196" i="1"/>
  <c r="L197" i="1" a="1"/>
  <c r="L197" i="1"/>
  <c r="L198" i="1" a="1"/>
  <c r="L198" i="1" s="1"/>
  <c r="L199" i="1" a="1"/>
  <c r="L199" i="1" s="1"/>
  <c r="L200" i="1" a="1"/>
  <c r="L200" i="1"/>
  <c r="L201" i="1" a="1"/>
  <c r="L201" i="1"/>
  <c r="L202" i="1" a="1"/>
  <c r="L202" i="1" s="1"/>
  <c r="L203" i="1" a="1"/>
  <c r="L203" i="1" s="1"/>
  <c r="L204" i="1" a="1"/>
  <c r="L204" i="1"/>
  <c r="L205" i="1" a="1"/>
  <c r="L205" i="1"/>
  <c r="L206" i="1" a="1"/>
  <c r="L206" i="1" s="1"/>
  <c r="L207" i="1" a="1"/>
  <c r="L207" i="1" s="1"/>
  <c r="L208" i="1" a="1"/>
  <c r="L208" i="1"/>
  <c r="L209" i="1" a="1"/>
  <c r="L209" i="1"/>
  <c r="L210" i="1" a="1"/>
  <c r="L210" i="1" s="1"/>
  <c r="L211" i="1" a="1"/>
  <c r="L211" i="1" s="1"/>
  <c r="L212" i="1" a="1"/>
  <c r="L212" i="1"/>
  <c r="L213" i="1" a="1"/>
  <c r="L213" i="1"/>
  <c r="L214" i="1" a="1"/>
  <c r="L214" i="1" s="1"/>
  <c r="L215" i="1" a="1"/>
  <c r="L215" i="1" s="1"/>
  <c r="L216" i="1" a="1"/>
  <c r="L216" i="1"/>
  <c r="L217" i="1" a="1"/>
  <c r="L217" i="1"/>
  <c r="L218" i="1" a="1"/>
  <c r="L218" i="1" s="1"/>
  <c r="L219" i="1" a="1"/>
  <c r="L219" i="1" s="1"/>
  <c r="L220" i="1" a="1"/>
  <c r="L220" i="1"/>
  <c r="L221" i="1" a="1"/>
  <c r="L221" i="1"/>
  <c r="L222" i="1" a="1"/>
  <c r="L222" i="1" s="1"/>
  <c r="L223" i="1" a="1"/>
  <c r="L223" i="1" s="1"/>
  <c r="L224" i="1" a="1"/>
  <c r="L224" i="1"/>
  <c r="L225" i="1" a="1"/>
  <c r="L225" i="1"/>
  <c r="L226" i="1" a="1"/>
  <c r="L226" i="1" s="1"/>
  <c r="L227" i="1" a="1"/>
  <c r="L227" i="1" s="1"/>
  <c r="L228" i="1" a="1"/>
  <c r="L228" i="1"/>
  <c r="L229" i="1" a="1"/>
  <c r="L229" i="1"/>
  <c r="L230" i="1" a="1"/>
  <c r="L230" i="1" s="1"/>
  <c r="L231" i="1" a="1"/>
  <c r="L231" i="1" s="1"/>
  <c r="L232" i="1" a="1"/>
  <c r="L232" i="1"/>
  <c r="L233" i="1" a="1"/>
  <c r="L233" i="1"/>
  <c r="L234" i="1" a="1"/>
  <c r="L234" i="1" s="1"/>
  <c r="L235" i="1" a="1"/>
  <c r="L235" i="1" s="1"/>
  <c r="L236" i="1" a="1"/>
  <c r="L236" i="1"/>
  <c r="L237" i="1" a="1"/>
  <c r="L237" i="1"/>
  <c r="L238" i="1" a="1"/>
  <c r="L238" i="1" s="1"/>
  <c r="L239" i="1" a="1"/>
  <c r="L239" i="1" s="1"/>
  <c r="L240" i="1" a="1"/>
  <c r="L240" i="1"/>
  <c r="L241" i="1" a="1"/>
  <c r="L241" i="1"/>
  <c r="L242" i="1" a="1"/>
  <c r="L242" i="1" s="1"/>
  <c r="L243" i="1" a="1"/>
  <c r="L243" i="1" s="1"/>
  <c r="L244" i="1" a="1"/>
  <c r="L244" i="1"/>
  <c r="L245" i="1" a="1"/>
  <c r="L245" i="1"/>
  <c r="L2" i="1" a="1"/>
  <c r="L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<sst xmlns="http://schemas.openxmlformats.org/spreadsheetml/2006/main" count="1767" uniqueCount="141">
  <si>
    <t>work_year</t>
  </si>
  <si>
    <t>experience_level</t>
  </si>
  <si>
    <t>employment_type</t>
  </si>
  <si>
    <t>job_title</t>
  </si>
  <si>
    <t>salary</t>
  </si>
  <si>
    <t>salary_currency</t>
  </si>
  <si>
    <t>salary_in_usd</t>
  </si>
  <si>
    <t>employee_residence</t>
  </si>
  <si>
    <t>remote_ratio</t>
  </si>
  <si>
    <t>company_location</t>
  </si>
  <si>
    <t>company_size</t>
  </si>
  <si>
    <t>EN</t>
  </si>
  <si>
    <t>FT</t>
  </si>
  <si>
    <t>Data Science Consultant</t>
  </si>
  <si>
    <t>EUR</t>
  </si>
  <si>
    <t>DE</t>
  </si>
  <si>
    <t>L</t>
  </si>
  <si>
    <t>SE</t>
  </si>
  <si>
    <t>Data Scientist</t>
  </si>
  <si>
    <t>GR</t>
  </si>
  <si>
    <t>US</t>
  </si>
  <si>
    <t>EX</t>
  </si>
  <si>
    <t>Head of Data Science</t>
  </si>
  <si>
    <t>USD</t>
  </si>
  <si>
    <t>RU</t>
  </si>
  <si>
    <t>M</t>
  </si>
  <si>
    <t>Head of Data</t>
  </si>
  <si>
    <t>Machine Learning Engineer</t>
  </si>
  <si>
    <t>S</t>
  </si>
  <si>
    <t>Data Analytics Manager</t>
  </si>
  <si>
    <t>MI</t>
  </si>
  <si>
    <t>Research Scientist</t>
  </si>
  <si>
    <t>Data Analyst</t>
  </si>
  <si>
    <t>FR</t>
  </si>
  <si>
    <t>Data Engineer</t>
  </si>
  <si>
    <t>AT</t>
  </si>
  <si>
    <t>Data Science Engineer</t>
  </si>
  <si>
    <t>CAD</t>
  </si>
  <si>
    <t>CA</t>
  </si>
  <si>
    <t>Manager Data Science</t>
  </si>
  <si>
    <t>UA</t>
  </si>
  <si>
    <t>Data Engineering Manager</t>
  </si>
  <si>
    <t>NG</t>
  </si>
  <si>
    <t>PT</t>
  </si>
  <si>
    <t>AI Scientist</t>
  </si>
  <si>
    <t>PK</t>
  </si>
  <si>
    <t>3D Computer Vision Researcher</t>
  </si>
  <si>
    <t>INR</t>
  </si>
  <si>
    <t>IN</t>
  </si>
  <si>
    <t>CT</t>
  </si>
  <si>
    <t>ML Engineer</t>
  </si>
  <si>
    <t>Applied Data Scientist</t>
  </si>
  <si>
    <t>GB</t>
  </si>
  <si>
    <t>ES</t>
  </si>
  <si>
    <t>Director of Data Science</t>
  </si>
  <si>
    <t>IT</t>
  </si>
  <si>
    <t>PL</t>
  </si>
  <si>
    <t>PLN</t>
  </si>
  <si>
    <t>Data Analytics Engineer</t>
  </si>
  <si>
    <t>GBP</t>
  </si>
  <si>
    <t>BG</t>
  </si>
  <si>
    <t>Lead Data Analyst</t>
  </si>
  <si>
    <t>PH</t>
  </si>
  <si>
    <t>BI Data Analyst</t>
  </si>
  <si>
    <t>Machine Learning Scientist</t>
  </si>
  <si>
    <t>Machine Learning Infrastructure Engineer</t>
  </si>
  <si>
    <t>Marketing Data Analyst</t>
  </si>
  <si>
    <t>DK</t>
  </si>
  <si>
    <t>Lead Data Engineer</t>
  </si>
  <si>
    <t>Director of Data Engineering</t>
  </si>
  <si>
    <t>HUF</t>
  </si>
  <si>
    <t>HU</t>
  </si>
  <si>
    <t>Computer Vision Software Engineer</t>
  </si>
  <si>
    <t>Financial Data Analyst</t>
  </si>
  <si>
    <t>Cloud Data Engineer</t>
  </si>
  <si>
    <t>SGD</t>
  </si>
  <si>
    <t>SG</t>
  </si>
  <si>
    <t>BR</t>
  </si>
  <si>
    <t>MXN</t>
  </si>
  <si>
    <t>MX</t>
  </si>
  <si>
    <t>Principal Data Analyst</t>
  </si>
  <si>
    <t>TRY</t>
  </si>
  <si>
    <t>TR</t>
  </si>
  <si>
    <t>Big Data Architect</t>
  </si>
  <si>
    <t>NL</t>
  </si>
  <si>
    <t>Lead Data Scientist</t>
  </si>
  <si>
    <t>AE</t>
  </si>
  <si>
    <t>JP</t>
  </si>
  <si>
    <t>Data Architect</t>
  </si>
  <si>
    <t>Big Data Engineer</t>
  </si>
  <si>
    <t>JE</t>
  </si>
  <si>
    <t>CN</t>
  </si>
  <si>
    <t>Staff Data Scientist</t>
  </si>
  <si>
    <t>PR</t>
  </si>
  <si>
    <t>RS</t>
  </si>
  <si>
    <t>Data Science Manager</t>
  </si>
  <si>
    <t>KE</t>
  </si>
  <si>
    <t>Business Data Analyst</t>
  </si>
  <si>
    <t>CO</t>
  </si>
  <si>
    <t>NZ</t>
  </si>
  <si>
    <t>VN</t>
  </si>
  <si>
    <t>IR</t>
  </si>
  <si>
    <t>RO</t>
  </si>
  <si>
    <t>CLP</t>
  </si>
  <si>
    <t>CL</t>
  </si>
  <si>
    <t>Principal Data Scientist</t>
  </si>
  <si>
    <t>JPY</t>
  </si>
  <si>
    <t>BE</t>
  </si>
  <si>
    <t>Computer Vision Engineer</t>
  </si>
  <si>
    <t>DKK</t>
  </si>
  <si>
    <t>CNY</t>
  </si>
  <si>
    <t>Product Data Analyst</t>
  </si>
  <si>
    <t>HK</t>
  </si>
  <si>
    <t>SI</t>
  </si>
  <si>
    <t>FL</t>
  </si>
  <si>
    <t>Principal Data Engineer</t>
  </si>
  <si>
    <t>BRL</t>
  </si>
  <si>
    <t>CH</t>
  </si>
  <si>
    <t>Finance Data Analyst</t>
  </si>
  <si>
    <t>MD</t>
  </si>
  <si>
    <t>LU</t>
  </si>
  <si>
    <t>AS</t>
  </si>
  <si>
    <t>HR</t>
  </si>
  <si>
    <t>IL</t>
  </si>
  <si>
    <t>Applied Machine Learning Scientist</t>
  </si>
  <si>
    <t>MT</t>
  </si>
  <si>
    <t>Data Specialist</t>
  </si>
  <si>
    <t>Experience_Name</t>
  </si>
  <si>
    <t>Remote_Type</t>
  </si>
  <si>
    <t>Row Labels</t>
  </si>
  <si>
    <t>Grand Total</t>
  </si>
  <si>
    <t>Sum of salary_in_usd</t>
  </si>
  <si>
    <t>Average of salary_in_usd</t>
  </si>
  <si>
    <t>Entry Level</t>
  </si>
  <si>
    <t>Expert Level</t>
  </si>
  <si>
    <t>Mid Level</t>
  </si>
  <si>
    <t>Senior Level</t>
  </si>
  <si>
    <t>Count of job_title</t>
  </si>
  <si>
    <t>Full Remote</t>
  </si>
  <si>
    <t>Hybrid</t>
  </si>
  <si>
    <t>On-Site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</si>
</sst>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22"/>
      <color theme="1"/>
      <name val="Aptos Narrow (Body)"/>
    </font>
    <font>
      <b/>
      <sz val="20"/>
      <color theme="1"/>
      <name val="Aptos Narrow (Body)"/>
    </font>
    <font>
      <b/>
      <sz val="18"/>
      <color theme="1"/>
      <name val="Aptos Narrow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0" fillId="0" borderId="10" xfId="0" pivotButton="1" applyBorder="1"/>
    <xf numFmtId="0" fontId="0" fillId="0" borderId="10" xfId="0" applyBorder="1"/>
    <xf numFmtId="0" fontId="0" fillId="0" borderId="10" xfId="0" applyBorder="1" applyAlignment="1">
      <alignment horizontal="left"/>
    </xf>
    <xf numFmtId="0" fontId="0" fillId="0" borderId="0" xfId="0" applyNumberFormat="1"/>
    <xf numFmtId="0" fontId="0" fillId="0" borderId="10" xfId="0" applyNumberFormat="1" applyBorder="1"/>
    <xf numFmtId="0" fontId="0" fillId="33" borderId="0" xfId="0" applyFill="1"/>
    <xf numFmtId="0" fontId="19" fillId="33" borderId="0" xfId="0" applyFont="1" applyFill="1" applyAlignment="1"/>
    <xf numFmtId="0" fontId="0" fillId="33" borderId="0" xfId="0" applyFill="1" applyAlignment="1"/>
    <xf numFmtId="0" fontId="18" fillId="33" borderId="0" xfId="0" applyFont="1" applyFill="1" applyAlignment="1"/>
    <xf numFmtId="0" fontId="20" fillId="33" borderId="0" xfId="0" applyFont="1" applyFill="1" applyAlignment="1">
      <alignment horizontal="center"/>
    </xf>
    <xf numFmtId="0" fontId="20" fillId="33"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Jobs Salaries with excel.xlsx]Salary_Analysis!PivotTable14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Salary_Analysis!$B$3</c:f>
              <c:strCache>
                <c:ptCount val="1"/>
                <c:pt idx="0">
                  <c:v>Total</c:v>
                </c:pt>
              </c:strCache>
            </c:strRef>
          </c:tx>
          <c:spPr>
            <a:solidFill>
              <a:schemeClr val="accent1"/>
            </a:solidFill>
            <a:ln>
              <a:noFill/>
            </a:ln>
            <a:effectLst/>
          </c:spPr>
          <c:invertIfNegative val="0"/>
          <c:cat>
            <c:strRef>
              <c:f>Salary_Analysis!$A$4:$A$13</c:f>
              <c:strCache>
                <c:ptCount val="10"/>
                <c:pt idx="0">
                  <c:v>Applied Machine Learning Scientist</c:v>
                </c:pt>
                <c:pt idx="1">
                  <c:v>Data Architect</c:v>
                </c:pt>
                <c:pt idx="2">
                  <c:v>Director of Data Science</c:v>
                </c:pt>
                <c:pt idx="3">
                  <c:v>Financial Data Analyst</c:v>
                </c:pt>
                <c:pt idx="4">
                  <c:v>Head of Data</c:v>
                </c:pt>
                <c:pt idx="5">
                  <c:v>Machine Learning Scientist</c:v>
                </c:pt>
                <c:pt idx="6">
                  <c:v>ML Engineer</c:v>
                </c:pt>
                <c:pt idx="7">
                  <c:v>Principal Data Analyst</c:v>
                </c:pt>
                <c:pt idx="8">
                  <c:v>Principal Data Engineer</c:v>
                </c:pt>
                <c:pt idx="9">
                  <c:v>Principal Data Scientist</c:v>
                </c:pt>
              </c:strCache>
            </c:strRef>
          </c:cat>
          <c:val>
            <c:numRef>
              <c:f>Salary_Analysis!$B$4:$B$13</c:f>
              <c:numCache>
                <c:formatCode>General</c:formatCode>
                <c:ptCount val="10"/>
                <c:pt idx="0">
                  <c:v>423000</c:v>
                </c:pt>
                <c:pt idx="1">
                  <c:v>180000</c:v>
                </c:pt>
                <c:pt idx="2">
                  <c:v>197751.5</c:v>
                </c:pt>
                <c:pt idx="3">
                  <c:v>450000</c:v>
                </c:pt>
                <c:pt idx="4">
                  <c:v>232500</c:v>
                </c:pt>
                <c:pt idx="5">
                  <c:v>180500</c:v>
                </c:pt>
                <c:pt idx="6">
                  <c:v>180655.33333333334</c:v>
                </c:pt>
                <c:pt idx="7">
                  <c:v>170000</c:v>
                </c:pt>
                <c:pt idx="8">
                  <c:v>392500</c:v>
                </c:pt>
                <c:pt idx="9">
                  <c:v>225097.8</c:v>
                </c:pt>
              </c:numCache>
            </c:numRef>
          </c:val>
          <c:extLst>
            <c:ext xmlns:c16="http://schemas.microsoft.com/office/drawing/2014/chart" uri="{C3380CC4-5D6E-409C-BE32-E72D297353CC}">
              <c16:uniqueId val="{00000000-5D52-8C42-AE74-57BE0A69F3E5}"/>
            </c:ext>
          </c:extLst>
        </c:ser>
        <c:dLbls>
          <c:showLegendKey val="0"/>
          <c:showVal val="0"/>
          <c:showCatName val="0"/>
          <c:showSerName val="0"/>
          <c:showPercent val="0"/>
          <c:showBubbleSize val="0"/>
        </c:dLbls>
        <c:gapWidth val="219"/>
        <c:overlap val="-27"/>
        <c:axId val="1556512767"/>
        <c:axId val="1556523967"/>
      </c:barChart>
      <c:catAx>
        <c:axId val="155651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56523967"/>
        <c:crosses val="autoZero"/>
        <c:auto val="1"/>
        <c:lblAlgn val="ctr"/>
        <c:lblOffset val="100"/>
        <c:noMultiLvlLbl val="0"/>
      </c:catAx>
      <c:valAx>
        <c:axId val="155652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5651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Jobs Salaries with excel.xlsx]Experience_Analysis!PivotTable15</c:name>
    <c:fmtId val="4"/>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Experience_Analysis!$B$3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Experience_Analysis!$A$4:$A$7</c:f>
              <c:strCache>
                <c:ptCount val="4"/>
                <c:pt idx="0">
                  <c:v>Entry Level</c:v>
                </c:pt>
                <c:pt idx="1">
                  <c:v>Expert Level</c:v>
                </c:pt>
                <c:pt idx="2">
                  <c:v>Mid Level</c:v>
                </c:pt>
                <c:pt idx="3">
                  <c:v>Senior Level</c:v>
                </c:pt>
              </c:strCache>
            </c:strRef>
          </c:cat>
          <c:val>
            <c:numRef>
              <c:f>Experience_Analysis!$B$4:$B$7</c:f>
              <c:numCache>
                <c:formatCode>General</c:formatCode>
                <c:ptCount val="4"/>
                <c:pt idx="0">
                  <c:v>3226687</c:v>
                </c:pt>
                <c:pt idx="1">
                  <c:v>2489168</c:v>
                </c:pt>
                <c:pt idx="2">
                  <c:v>8739528</c:v>
                </c:pt>
                <c:pt idx="3">
                  <c:v>9920780</c:v>
                </c:pt>
              </c:numCache>
            </c:numRef>
          </c:val>
          <c:extLst>
            <c:ext xmlns:c16="http://schemas.microsoft.com/office/drawing/2014/chart" uri="{C3380CC4-5D6E-409C-BE32-E72D297353CC}">
              <c16:uniqueId val="{00000000-DB91-4F4A-B0DF-88F3FC86DE03}"/>
            </c:ext>
          </c:extLst>
        </c:ser>
        <c:dLbls>
          <c:showLegendKey val="0"/>
          <c:showVal val="0"/>
          <c:showCatName val="0"/>
          <c:showSerName val="0"/>
          <c:showPercent val="0"/>
          <c:showBubbleSize val="0"/>
        </c:dLbls>
        <c:gapWidth val="355"/>
        <c:overlap val="-70"/>
        <c:axId val="311897024"/>
        <c:axId val="311886720"/>
      </c:barChart>
      <c:catAx>
        <c:axId val="31189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11886720"/>
        <c:crosses val="autoZero"/>
        <c:auto val="1"/>
        <c:lblAlgn val="ctr"/>
        <c:lblOffset val="100"/>
        <c:noMultiLvlLbl val="0"/>
      </c:catAx>
      <c:valAx>
        <c:axId val="31188672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1189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Jobs Salaries with excel.xlsx]Location_Analysis!PivotTable16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Location_Analysis!$B$3</c:f>
              <c:strCache>
                <c:ptCount val="1"/>
                <c:pt idx="0">
                  <c:v>Total</c:v>
                </c:pt>
              </c:strCache>
            </c:strRef>
          </c:tx>
          <c:spPr>
            <a:solidFill>
              <a:schemeClr val="accent1"/>
            </a:solidFill>
            <a:ln>
              <a:noFill/>
            </a:ln>
            <a:effectLst/>
          </c:spPr>
          <c:invertIfNegative val="0"/>
          <c:cat>
            <c:strRef>
              <c:f>Location_Analysis!$A$4:$A$17</c:f>
              <c:strCache>
                <c:ptCount val="13"/>
                <c:pt idx="0">
                  <c:v>AT</c:v>
                </c:pt>
                <c:pt idx="1">
                  <c:v>CA</c:v>
                </c:pt>
                <c:pt idx="2">
                  <c:v>DE</c:v>
                </c:pt>
                <c:pt idx="3">
                  <c:v>DK</c:v>
                </c:pt>
                <c:pt idx="4">
                  <c:v>ES</c:v>
                </c:pt>
                <c:pt idx="5">
                  <c:v>FR</c:v>
                </c:pt>
                <c:pt idx="6">
                  <c:v>GB</c:v>
                </c:pt>
                <c:pt idx="7">
                  <c:v>IN</c:v>
                </c:pt>
                <c:pt idx="8">
                  <c:v>JP</c:v>
                </c:pt>
                <c:pt idx="9">
                  <c:v>NL</c:v>
                </c:pt>
                <c:pt idx="10">
                  <c:v>PL</c:v>
                </c:pt>
                <c:pt idx="11">
                  <c:v>TR</c:v>
                </c:pt>
                <c:pt idx="12">
                  <c:v>US</c:v>
                </c:pt>
              </c:strCache>
            </c:strRef>
          </c:cat>
          <c:val>
            <c:numRef>
              <c:f>Location_Analysis!$B$4:$B$17</c:f>
              <c:numCache>
                <c:formatCode>General</c:formatCode>
                <c:ptCount val="13"/>
                <c:pt idx="0">
                  <c:v>3</c:v>
                </c:pt>
                <c:pt idx="1">
                  <c:v>11</c:v>
                </c:pt>
                <c:pt idx="2">
                  <c:v>18</c:v>
                </c:pt>
                <c:pt idx="3">
                  <c:v>3</c:v>
                </c:pt>
                <c:pt idx="4">
                  <c:v>7</c:v>
                </c:pt>
                <c:pt idx="5">
                  <c:v>11</c:v>
                </c:pt>
                <c:pt idx="6">
                  <c:v>16</c:v>
                </c:pt>
                <c:pt idx="7">
                  <c:v>17</c:v>
                </c:pt>
                <c:pt idx="8">
                  <c:v>4</c:v>
                </c:pt>
                <c:pt idx="9">
                  <c:v>3</c:v>
                </c:pt>
                <c:pt idx="10">
                  <c:v>3</c:v>
                </c:pt>
                <c:pt idx="11">
                  <c:v>3</c:v>
                </c:pt>
                <c:pt idx="12">
                  <c:v>108</c:v>
                </c:pt>
              </c:numCache>
            </c:numRef>
          </c:val>
          <c:extLst>
            <c:ext xmlns:c16="http://schemas.microsoft.com/office/drawing/2014/chart" uri="{C3380CC4-5D6E-409C-BE32-E72D297353CC}">
              <c16:uniqueId val="{00000000-BBB6-084F-BE03-B6D5AB29F233}"/>
            </c:ext>
          </c:extLst>
        </c:ser>
        <c:dLbls>
          <c:showLegendKey val="0"/>
          <c:showVal val="0"/>
          <c:showCatName val="0"/>
          <c:showSerName val="0"/>
          <c:showPercent val="0"/>
          <c:showBubbleSize val="0"/>
        </c:dLbls>
        <c:gapWidth val="219"/>
        <c:axId val="311776512"/>
        <c:axId val="311773376"/>
      </c:barChart>
      <c:catAx>
        <c:axId val="31177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11773376"/>
        <c:crosses val="autoZero"/>
        <c:auto val="1"/>
        <c:lblAlgn val="ctr"/>
        <c:lblOffset val="100"/>
        <c:noMultiLvlLbl val="0"/>
      </c:catAx>
      <c:valAx>
        <c:axId val="311773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1177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Jobs Salaries with excel.xlsx]Remote_Analysis!PivotTable17</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Remote_Analysis!$B$3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769-FE47-8382-C297059225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769-FE47-8382-C297059225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769-FE47-8382-C297059225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Remote_Analysis!$A$4:$A$7</c:f>
              <c:strCache>
                <c:ptCount val="3"/>
                <c:pt idx="0">
                  <c:v>Full Remote</c:v>
                </c:pt>
                <c:pt idx="1">
                  <c:v>Hybrid</c:v>
                </c:pt>
                <c:pt idx="2">
                  <c:v>On-Site</c:v>
                </c:pt>
              </c:strCache>
            </c:strRef>
          </c:cat>
          <c:val>
            <c:numRef>
              <c:f>Remote_Analysis!$B$4:$B$7</c:f>
              <c:numCache>
                <c:formatCode>General</c:formatCode>
                <c:ptCount val="3"/>
                <c:pt idx="0">
                  <c:v>134</c:v>
                </c:pt>
                <c:pt idx="1">
                  <c:v>70</c:v>
                </c:pt>
                <c:pt idx="2">
                  <c:v>40</c:v>
                </c:pt>
              </c:numCache>
            </c:numRef>
          </c:val>
          <c:extLst>
            <c:ext xmlns:c16="http://schemas.microsoft.com/office/drawing/2014/chart" uri="{C3380CC4-5D6E-409C-BE32-E72D297353CC}">
              <c16:uniqueId val="{00000000-D129-EF45-9D25-3A9FF4FB5C1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Jobs Salaries with excel.xlsx]Company_Size_Analysis!PivotTable18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Company_Size_Analysis!$B$3</c:f>
              <c:strCache>
                <c:ptCount val="1"/>
                <c:pt idx="0">
                  <c:v>Total</c:v>
                </c:pt>
              </c:strCache>
            </c:strRef>
          </c:tx>
          <c:spPr>
            <a:solidFill>
              <a:schemeClr val="accent1"/>
            </a:solidFill>
            <a:ln>
              <a:noFill/>
            </a:ln>
            <a:effectLst/>
          </c:spPr>
          <c:invertIfNegative val="0"/>
          <c:cat>
            <c:strRef>
              <c:f>Company_Size_Analysis!$A$4:$A$7</c:f>
              <c:strCache>
                <c:ptCount val="3"/>
                <c:pt idx="0">
                  <c:v>S</c:v>
                </c:pt>
                <c:pt idx="1">
                  <c:v>M</c:v>
                </c:pt>
                <c:pt idx="2">
                  <c:v>L</c:v>
                </c:pt>
              </c:strCache>
            </c:strRef>
          </c:cat>
          <c:val>
            <c:numRef>
              <c:f>Company_Size_Analysis!$B$4:$B$7</c:f>
              <c:numCache>
                <c:formatCode>General</c:formatCode>
                <c:ptCount val="3"/>
                <c:pt idx="0">
                  <c:v>80874.793103448275</c:v>
                </c:pt>
                <c:pt idx="1">
                  <c:v>85082.818181818177</c:v>
                </c:pt>
                <c:pt idx="2">
                  <c:v>114548.62595419848</c:v>
                </c:pt>
              </c:numCache>
            </c:numRef>
          </c:val>
          <c:extLst>
            <c:ext xmlns:c16="http://schemas.microsoft.com/office/drawing/2014/chart" uri="{C3380CC4-5D6E-409C-BE32-E72D297353CC}">
              <c16:uniqueId val="{00000000-7A75-8A44-80B3-A19C91DC3C73}"/>
            </c:ext>
          </c:extLst>
        </c:ser>
        <c:dLbls>
          <c:showLegendKey val="0"/>
          <c:showVal val="0"/>
          <c:showCatName val="0"/>
          <c:showSerName val="0"/>
          <c:showPercent val="0"/>
          <c:showBubbleSize val="0"/>
        </c:dLbls>
        <c:gapWidth val="219"/>
        <c:overlap val="-27"/>
        <c:axId val="460577344"/>
        <c:axId val="460583168"/>
      </c:barChart>
      <c:catAx>
        <c:axId val="46057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60583168"/>
        <c:crosses val="autoZero"/>
        <c:auto val="1"/>
        <c:lblAlgn val="ctr"/>
        <c:lblOffset val="100"/>
        <c:noMultiLvlLbl val="0"/>
      </c:catAx>
      <c:valAx>
        <c:axId val="46058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6057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Jobs Salaries with excel.xlsx]Salary_Analysis!PivotTable14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b="1" u="sng">
                <a:solidFill>
                  <a:schemeClr val="tx1"/>
                </a:solidFill>
              </a:rPr>
              <a:t>Average Salary by Job Title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Salary_Analysis!$B$3</c:f>
              <c:strCache>
                <c:ptCount val="1"/>
                <c:pt idx="0">
                  <c:v>Total</c:v>
                </c:pt>
              </c:strCache>
            </c:strRef>
          </c:tx>
          <c:spPr>
            <a:solidFill>
              <a:schemeClr val="accent2">
                <a:lumMod val="60000"/>
                <a:lumOff val="40000"/>
              </a:schemeClr>
            </a:solidFill>
            <a:ln>
              <a:noFill/>
            </a:ln>
            <a:effectLst/>
          </c:spPr>
          <c:invertIfNegative val="0"/>
          <c:cat>
            <c:strRef>
              <c:f>Salary_Analysis!$A$4:$A$13</c:f>
              <c:strCache>
                <c:ptCount val="10"/>
                <c:pt idx="0">
                  <c:v>Applied Machine Learning Scientist</c:v>
                </c:pt>
                <c:pt idx="1">
                  <c:v>Data Architect</c:v>
                </c:pt>
                <c:pt idx="2">
                  <c:v>Director of Data Science</c:v>
                </c:pt>
                <c:pt idx="3">
                  <c:v>Financial Data Analyst</c:v>
                </c:pt>
                <c:pt idx="4">
                  <c:v>Head of Data</c:v>
                </c:pt>
                <c:pt idx="5">
                  <c:v>Machine Learning Scientist</c:v>
                </c:pt>
                <c:pt idx="6">
                  <c:v>ML Engineer</c:v>
                </c:pt>
                <c:pt idx="7">
                  <c:v>Principal Data Analyst</c:v>
                </c:pt>
                <c:pt idx="8">
                  <c:v>Principal Data Engineer</c:v>
                </c:pt>
                <c:pt idx="9">
                  <c:v>Principal Data Scientist</c:v>
                </c:pt>
              </c:strCache>
            </c:strRef>
          </c:cat>
          <c:val>
            <c:numRef>
              <c:f>Salary_Analysis!$B$4:$B$13</c:f>
              <c:numCache>
                <c:formatCode>General</c:formatCode>
                <c:ptCount val="10"/>
                <c:pt idx="0">
                  <c:v>423000</c:v>
                </c:pt>
                <c:pt idx="1">
                  <c:v>180000</c:v>
                </c:pt>
                <c:pt idx="2">
                  <c:v>197751.5</c:v>
                </c:pt>
                <c:pt idx="3">
                  <c:v>450000</c:v>
                </c:pt>
                <c:pt idx="4">
                  <c:v>232500</c:v>
                </c:pt>
                <c:pt idx="5">
                  <c:v>180500</c:v>
                </c:pt>
                <c:pt idx="6">
                  <c:v>180655.33333333334</c:v>
                </c:pt>
                <c:pt idx="7">
                  <c:v>170000</c:v>
                </c:pt>
                <c:pt idx="8">
                  <c:v>392500</c:v>
                </c:pt>
                <c:pt idx="9">
                  <c:v>225097.8</c:v>
                </c:pt>
              </c:numCache>
            </c:numRef>
          </c:val>
          <c:extLst>
            <c:ext xmlns:c16="http://schemas.microsoft.com/office/drawing/2014/chart" uri="{C3380CC4-5D6E-409C-BE32-E72D297353CC}">
              <c16:uniqueId val="{00000002-07F6-C047-BBC6-1408C7231F8D}"/>
            </c:ext>
          </c:extLst>
        </c:ser>
        <c:dLbls>
          <c:showLegendKey val="0"/>
          <c:showVal val="0"/>
          <c:showCatName val="0"/>
          <c:showSerName val="0"/>
          <c:showPercent val="0"/>
          <c:showBubbleSize val="0"/>
        </c:dLbls>
        <c:gapWidth val="219"/>
        <c:overlap val="-27"/>
        <c:axId val="1556512767"/>
        <c:axId val="1556523967"/>
      </c:barChart>
      <c:catAx>
        <c:axId val="155651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56523967"/>
        <c:crosses val="autoZero"/>
        <c:auto val="1"/>
        <c:lblAlgn val="ctr"/>
        <c:lblOffset val="100"/>
        <c:noMultiLvlLbl val="0"/>
      </c:catAx>
      <c:valAx>
        <c:axId val="1556523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5651276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Jobs Salaries with excel.xlsx]Experience_Analysis!PivotTable15</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Experience Level vs Average Salary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Experience_Analysis!$B$3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Experience_Analysis!$A$4:$A$7</c:f>
              <c:strCache>
                <c:ptCount val="4"/>
                <c:pt idx="0">
                  <c:v>Entry Level</c:v>
                </c:pt>
                <c:pt idx="1">
                  <c:v>Expert Level</c:v>
                </c:pt>
                <c:pt idx="2">
                  <c:v>Mid Level</c:v>
                </c:pt>
                <c:pt idx="3">
                  <c:v>Senior Level</c:v>
                </c:pt>
              </c:strCache>
            </c:strRef>
          </c:cat>
          <c:val>
            <c:numRef>
              <c:f>Experience_Analysis!$B$4:$B$7</c:f>
              <c:numCache>
                <c:formatCode>General</c:formatCode>
                <c:ptCount val="4"/>
                <c:pt idx="0">
                  <c:v>3226687</c:v>
                </c:pt>
                <c:pt idx="1">
                  <c:v>2489168</c:v>
                </c:pt>
                <c:pt idx="2">
                  <c:v>8739528</c:v>
                </c:pt>
                <c:pt idx="3">
                  <c:v>9920780</c:v>
                </c:pt>
              </c:numCache>
            </c:numRef>
          </c:val>
          <c:extLst>
            <c:ext xmlns:c16="http://schemas.microsoft.com/office/drawing/2014/chart" uri="{C3380CC4-5D6E-409C-BE32-E72D297353CC}">
              <c16:uniqueId val="{00000000-835D-0548-A410-7A4899F642E3}"/>
            </c:ext>
          </c:extLst>
        </c:ser>
        <c:dLbls>
          <c:showLegendKey val="0"/>
          <c:showVal val="0"/>
          <c:showCatName val="0"/>
          <c:showSerName val="0"/>
          <c:showPercent val="0"/>
          <c:showBubbleSize val="0"/>
        </c:dLbls>
        <c:gapWidth val="355"/>
        <c:overlap val="-70"/>
        <c:axId val="311897024"/>
        <c:axId val="311886720"/>
      </c:barChart>
      <c:catAx>
        <c:axId val="31189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11886720"/>
        <c:crosses val="autoZero"/>
        <c:auto val="1"/>
        <c:lblAlgn val="ctr"/>
        <c:lblOffset val="100"/>
        <c:noMultiLvlLbl val="0"/>
      </c:catAx>
      <c:valAx>
        <c:axId val="31188672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1189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Jobs Salaries with excel.xlsx]Location_Analysis!PivotTable16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b="1" u="sng"/>
              <a:t>Job Availability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Location_Analysis!$B$3</c:f>
              <c:strCache>
                <c:ptCount val="1"/>
                <c:pt idx="0">
                  <c:v>Total</c:v>
                </c:pt>
              </c:strCache>
            </c:strRef>
          </c:tx>
          <c:spPr>
            <a:solidFill>
              <a:schemeClr val="accent5">
                <a:lumMod val="75000"/>
              </a:schemeClr>
            </a:solidFill>
            <a:ln>
              <a:noFill/>
            </a:ln>
            <a:effectLst/>
          </c:spPr>
          <c:invertIfNegative val="0"/>
          <c:cat>
            <c:strRef>
              <c:f>Location_Analysis!$A$4:$A$17</c:f>
              <c:strCache>
                <c:ptCount val="13"/>
                <c:pt idx="0">
                  <c:v>AT</c:v>
                </c:pt>
                <c:pt idx="1">
                  <c:v>CA</c:v>
                </c:pt>
                <c:pt idx="2">
                  <c:v>DE</c:v>
                </c:pt>
                <c:pt idx="3">
                  <c:v>DK</c:v>
                </c:pt>
                <c:pt idx="4">
                  <c:v>ES</c:v>
                </c:pt>
                <c:pt idx="5">
                  <c:v>FR</c:v>
                </c:pt>
                <c:pt idx="6">
                  <c:v>GB</c:v>
                </c:pt>
                <c:pt idx="7">
                  <c:v>IN</c:v>
                </c:pt>
                <c:pt idx="8">
                  <c:v>JP</c:v>
                </c:pt>
                <c:pt idx="9">
                  <c:v>NL</c:v>
                </c:pt>
                <c:pt idx="10">
                  <c:v>PL</c:v>
                </c:pt>
                <c:pt idx="11">
                  <c:v>TR</c:v>
                </c:pt>
                <c:pt idx="12">
                  <c:v>US</c:v>
                </c:pt>
              </c:strCache>
            </c:strRef>
          </c:cat>
          <c:val>
            <c:numRef>
              <c:f>Location_Analysis!$B$4:$B$17</c:f>
              <c:numCache>
                <c:formatCode>General</c:formatCode>
                <c:ptCount val="13"/>
                <c:pt idx="0">
                  <c:v>3</c:v>
                </c:pt>
                <c:pt idx="1">
                  <c:v>11</c:v>
                </c:pt>
                <c:pt idx="2">
                  <c:v>18</c:v>
                </c:pt>
                <c:pt idx="3">
                  <c:v>3</c:v>
                </c:pt>
                <c:pt idx="4">
                  <c:v>7</c:v>
                </c:pt>
                <c:pt idx="5">
                  <c:v>11</c:v>
                </c:pt>
                <c:pt idx="6">
                  <c:v>16</c:v>
                </c:pt>
                <c:pt idx="7">
                  <c:v>17</c:v>
                </c:pt>
                <c:pt idx="8">
                  <c:v>4</c:v>
                </c:pt>
                <c:pt idx="9">
                  <c:v>3</c:v>
                </c:pt>
                <c:pt idx="10">
                  <c:v>3</c:v>
                </c:pt>
                <c:pt idx="11">
                  <c:v>3</c:v>
                </c:pt>
                <c:pt idx="12">
                  <c:v>108</c:v>
                </c:pt>
              </c:numCache>
            </c:numRef>
          </c:val>
          <c:extLst>
            <c:ext xmlns:c16="http://schemas.microsoft.com/office/drawing/2014/chart" uri="{C3380CC4-5D6E-409C-BE32-E72D297353CC}">
              <c16:uniqueId val="{00000000-86A0-C244-8D90-0E6E2C74B52A}"/>
            </c:ext>
          </c:extLst>
        </c:ser>
        <c:dLbls>
          <c:showLegendKey val="0"/>
          <c:showVal val="0"/>
          <c:showCatName val="0"/>
          <c:showSerName val="0"/>
          <c:showPercent val="0"/>
          <c:showBubbleSize val="0"/>
        </c:dLbls>
        <c:gapWidth val="219"/>
        <c:axId val="311776512"/>
        <c:axId val="311773376"/>
      </c:barChart>
      <c:catAx>
        <c:axId val="31177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11773376"/>
        <c:crosses val="autoZero"/>
        <c:auto val="1"/>
        <c:lblAlgn val="ctr"/>
        <c:lblOffset val="100"/>
        <c:noMultiLvlLbl val="0"/>
      </c:catAx>
      <c:valAx>
        <c:axId val="31177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1177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Jobs Salaries with excel.xlsx]Remote_Analysis!PivotTable17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u="sng"/>
              <a:t>Remote Work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Remote_Analysis!$B$3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0F3-814A-9789-77DD80D270E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0F3-814A-9789-77DD80D270E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0F3-814A-9789-77DD80D270E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Remote_Analysis!$A$4:$A$7</c:f>
              <c:strCache>
                <c:ptCount val="3"/>
                <c:pt idx="0">
                  <c:v>Full Remote</c:v>
                </c:pt>
                <c:pt idx="1">
                  <c:v>Hybrid</c:v>
                </c:pt>
                <c:pt idx="2">
                  <c:v>On-Site</c:v>
                </c:pt>
              </c:strCache>
            </c:strRef>
          </c:cat>
          <c:val>
            <c:numRef>
              <c:f>Remote_Analysis!$B$4:$B$7</c:f>
              <c:numCache>
                <c:formatCode>General</c:formatCode>
                <c:ptCount val="3"/>
                <c:pt idx="0">
                  <c:v>134</c:v>
                </c:pt>
                <c:pt idx="1">
                  <c:v>70</c:v>
                </c:pt>
                <c:pt idx="2">
                  <c:v>40</c:v>
                </c:pt>
              </c:numCache>
            </c:numRef>
          </c:val>
          <c:extLst>
            <c:ext xmlns:c16="http://schemas.microsoft.com/office/drawing/2014/chart" uri="{C3380CC4-5D6E-409C-BE32-E72D297353CC}">
              <c16:uniqueId val="{00000006-40F3-814A-9789-77DD80D270E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1536700</xdr:colOff>
      <xdr:row>10</xdr:row>
      <xdr:rowOff>177800</xdr:rowOff>
    </xdr:from>
    <xdr:to>
      <xdr:col>14</xdr:col>
      <xdr:colOff>355600</xdr:colOff>
      <xdr:row>38</xdr:row>
      <xdr:rowOff>114300</xdr:rowOff>
    </xdr:to>
    <xdr:graphicFrame macro="">
      <xdr:nvGraphicFramePr>
        <xdr:cNvPr id="3" name="Chart 2">
          <a:extLst>
            <a:ext uri="{FF2B5EF4-FFF2-40B4-BE49-F238E27FC236}">
              <a16:creationId xmlns:a16="http://schemas.microsoft.com/office/drawing/2014/main" id="{0EDECA89-CAA2-C52F-72E0-7C9199BF0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698500</xdr:colOff>
      <xdr:row>16</xdr:row>
      <xdr:rowOff>114300</xdr:rowOff>
    </xdr:from>
    <xdr:to>
      <xdr:col>14</xdr:col>
      <xdr:colOff>50800</xdr:colOff>
      <xdr:row>31</xdr:row>
      <xdr:rowOff>184150</xdr:rowOff>
    </xdr:to>
    <xdr:graphicFrame macro="">
      <xdr:nvGraphicFramePr>
        <xdr:cNvPr id="3" name="Chart 2">
          <a:extLst>
            <a:ext uri="{FF2B5EF4-FFF2-40B4-BE49-F238E27FC236}">
              <a16:creationId xmlns:a16="http://schemas.microsoft.com/office/drawing/2014/main" id="{6C016315-304F-4D96-FA4B-F542326D7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50800</xdr:colOff>
      <xdr:row>12</xdr:row>
      <xdr:rowOff>101600</xdr:rowOff>
    </xdr:from>
    <xdr:to>
      <xdr:col>16</xdr:col>
      <xdr:colOff>292100</xdr:colOff>
      <xdr:row>43</xdr:row>
      <xdr:rowOff>190500</xdr:rowOff>
    </xdr:to>
    <xdr:graphicFrame macro="">
      <xdr:nvGraphicFramePr>
        <xdr:cNvPr id="3" name="Chart 2">
          <a:extLst>
            <a:ext uri="{FF2B5EF4-FFF2-40B4-BE49-F238E27FC236}">
              <a16:creationId xmlns:a16="http://schemas.microsoft.com/office/drawing/2014/main" id="{F8CB7995-1F42-E9E2-05D5-ADD90589E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50800</xdr:colOff>
      <xdr:row>18</xdr:row>
      <xdr:rowOff>82550</xdr:rowOff>
    </xdr:from>
    <xdr:to>
      <xdr:col>12</xdr:col>
      <xdr:colOff>495300</xdr:colOff>
      <xdr:row>31</xdr:row>
      <xdr:rowOff>184150</xdr:rowOff>
    </xdr:to>
    <xdr:graphicFrame macro="">
      <xdr:nvGraphicFramePr>
        <xdr:cNvPr id="3" name="Chart 2">
          <a:extLst>
            <a:ext uri="{FF2B5EF4-FFF2-40B4-BE49-F238E27FC236}">
              <a16:creationId xmlns:a16="http://schemas.microsoft.com/office/drawing/2014/main" id="{1FA69F0C-32F1-9A81-7D74-00EED2157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654050</xdr:colOff>
      <xdr:row>10</xdr:row>
      <xdr:rowOff>158750</xdr:rowOff>
    </xdr:from>
    <xdr:to>
      <xdr:col>5</xdr:col>
      <xdr:colOff>107950</xdr:colOff>
      <xdr:row>24</xdr:row>
      <xdr:rowOff>57150</xdr:rowOff>
    </xdr:to>
    <xdr:graphicFrame macro="">
      <xdr:nvGraphicFramePr>
        <xdr:cNvPr id="2" name="Chart 1">
          <a:extLst>
            <a:ext uri="{FF2B5EF4-FFF2-40B4-BE49-F238E27FC236}">
              <a16:creationId xmlns:a16="http://schemas.microsoft.com/office/drawing/2014/main" id="{A2C68E11-13D4-55E1-AF09-98ABB6DCD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621489</xdr:colOff>
      <xdr:row>4</xdr:row>
      <xdr:rowOff>139700</xdr:rowOff>
    </xdr:from>
    <xdr:to>
      <xdr:col>12</xdr:col>
      <xdr:colOff>0</xdr:colOff>
      <xdr:row>26</xdr:row>
      <xdr:rowOff>12700</xdr:rowOff>
    </xdr:to>
    <xdr:graphicFrame macro="">
      <xdr:nvGraphicFramePr>
        <xdr:cNvPr id="3" name="Chart 2">
          <a:extLst>
            <a:ext uri="{FF2B5EF4-FFF2-40B4-BE49-F238E27FC236}">
              <a16:creationId xmlns:a16="http://schemas.microsoft.com/office/drawing/2014/main" id="{DB8468D3-99F5-6843-910A-ACB9D61AD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607979</xdr:colOff>
      <xdr:row>4</xdr:row>
      <xdr:rowOff>162129</xdr:rowOff>
    </xdr:from>
    <xdr:to>
      <xdr:col>21</xdr:col>
      <xdr:colOff>783617</xdr:colOff>
      <xdr:row>25</xdr:row>
      <xdr:rowOff>189149</xdr:rowOff>
    </xdr:to>
    <xdr:graphicFrame macro="">
      <xdr:nvGraphicFramePr>
        <xdr:cNvPr id="4" name="Chart 3">
          <a:extLst>
            <a:ext uri="{FF2B5EF4-FFF2-40B4-BE49-F238E27FC236}">
              <a16:creationId xmlns:a16="http://schemas.microsoft.com/office/drawing/2014/main" id="{F0C4B347-39E9-F54F-9097-C32A88721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632478</xdr:colOff>
      <xdr:row>29</xdr:row>
      <xdr:rowOff>287868</xdr:rowOff>
    </xdr:from>
    <xdr:to>
      <xdr:col>12</xdr:col>
      <xdr:colOff>0</xdr:colOff>
      <xdr:row>51</xdr:row>
      <xdr:rowOff>194915</xdr:rowOff>
    </xdr:to>
    <xdr:graphicFrame macro="">
      <xdr:nvGraphicFramePr>
        <xdr:cNvPr id="6" name="Chart 5">
          <a:extLst>
            <a:ext uri="{FF2B5EF4-FFF2-40B4-BE49-F238E27FC236}">
              <a16:creationId xmlns:a16="http://schemas.microsoft.com/office/drawing/2014/main" id="{1BBDEB8B-985F-C94B-82F0-DAEEA945A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592668</xdr:colOff>
      <xdr:row>29</xdr:row>
      <xdr:rowOff>287867</xdr:rowOff>
    </xdr:from>
    <xdr:to>
      <xdr:col>21</xdr:col>
      <xdr:colOff>783618</xdr:colOff>
      <xdr:row>52</xdr:row>
      <xdr:rowOff>67733</xdr:rowOff>
    </xdr:to>
    <xdr:graphicFrame macro="">
      <xdr:nvGraphicFramePr>
        <xdr:cNvPr id="7" name="Chart 6">
          <a:extLst>
            <a:ext uri="{FF2B5EF4-FFF2-40B4-BE49-F238E27FC236}">
              <a16:creationId xmlns:a16="http://schemas.microsoft.com/office/drawing/2014/main" id="{2E841425-B28C-0440-A802-553E704FD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203200</xdr:colOff>
      <xdr:row>0</xdr:row>
      <xdr:rowOff>0</xdr:rowOff>
    </xdr:from>
    <xdr:to>
      <xdr:col>21</xdr:col>
      <xdr:colOff>675260</xdr:colOff>
      <xdr:row>3</xdr:row>
      <xdr:rowOff>203200</xdr:rowOff>
    </xdr:to>
    <mc:AlternateContent xmlns:mc="http://schemas.openxmlformats.org/markup-compatibility/2006">
      <mc:Choice xmlns:a14="http://schemas.microsoft.com/office/drawing/2010/main" Requires="a14">
        <xdr:graphicFrame macro="">
          <xdr:nvGraphicFramePr>
            <xdr:cNvPr id="9" name="Experience_Name">
              <a:extLst>
                <a:ext uri="{FF2B5EF4-FFF2-40B4-BE49-F238E27FC236}">
                  <a16:creationId xmlns:a16="http://schemas.microsoft.com/office/drawing/2014/main" id="{D824ED0E-D369-52DA-08F0-92A7A4FD8F40}"/>
                </a:ext>
              </a:extLst>
            </xdr:cNvPr>
            <xdr:cNvGraphicFramePr/>
          </xdr:nvGraphicFramePr>
          <xdr:xfrm>
            <a:off x="0" y="0"/>
            <a:ext cx="0" cy="0"/>
          </xdr:xfrm>
          <a:graphic>
            <a:graphicData uri="http://schemas.microsoft.com/office/drawing/2010/slicer">
              <sle:slicer xmlns:sle="http://schemas.microsoft.com/office/drawing/2010/slicer" name="Experience_Name"/>
            </a:graphicData>
          </a:graphic>
        </xdr:graphicFrame>
      </mc:Choice>
      <mc:Fallback>
        <xdr:sp macro="" textlink="">
          <xdr:nvSpPr>
            <xdr:cNvPr id="0" name=""/>
            <xdr:cNvSpPr>
              <a:spLocks noTextEdit="1"/>
            </xdr:cNvSpPr>
          </xdr:nvSpPr>
          <xdr:spPr>
            <a:xfrm>
              <a:off x="10160000" y="0"/>
              <a:ext cx="7939660" cy="812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800100</xdr:colOff>
      <xdr:row>0</xdr:row>
      <xdr:rowOff>0</xdr:rowOff>
    </xdr:from>
    <xdr:to>
      <xdr:col>12</xdr:col>
      <xdr:colOff>163335</xdr:colOff>
      <xdr:row>3</xdr:row>
      <xdr:rowOff>204183</xdr:rowOff>
    </xdr:to>
    <mc:AlternateContent xmlns:mc="http://schemas.openxmlformats.org/markup-compatibility/2006">
      <mc:Choice xmlns:a14="http://schemas.microsoft.com/office/drawing/2010/main" Requires="a14">
        <xdr:graphicFrame macro="">
          <xdr:nvGraphicFramePr>
            <xdr:cNvPr id="10" name="Remote_Type">
              <a:extLst>
                <a:ext uri="{FF2B5EF4-FFF2-40B4-BE49-F238E27FC236}">
                  <a16:creationId xmlns:a16="http://schemas.microsoft.com/office/drawing/2014/main" id="{6955C3E2-0773-92E1-0EF3-17512F5CAE2C}"/>
                </a:ext>
              </a:extLst>
            </xdr:cNvPr>
            <xdr:cNvGraphicFramePr/>
          </xdr:nvGraphicFramePr>
          <xdr:xfrm>
            <a:off x="0" y="0"/>
            <a:ext cx="0" cy="0"/>
          </xdr:xfrm>
          <a:graphic>
            <a:graphicData uri="http://schemas.microsoft.com/office/drawing/2010/slicer">
              <sle:slicer xmlns:sle="http://schemas.microsoft.com/office/drawing/2010/slicer" name="Remote_Type"/>
            </a:graphicData>
          </a:graphic>
        </xdr:graphicFrame>
      </mc:Choice>
      <mc:Fallback>
        <xdr:sp macro="" textlink="">
          <xdr:nvSpPr>
            <xdr:cNvPr id="0" name=""/>
            <xdr:cNvSpPr>
              <a:spLocks noTextEdit="1"/>
            </xdr:cNvSpPr>
          </xdr:nvSpPr>
          <xdr:spPr>
            <a:xfrm>
              <a:off x="4119033" y="0"/>
              <a:ext cx="6001102" cy="8137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592667</xdr:colOff>
      <xdr:row>26</xdr:row>
      <xdr:rowOff>84667</xdr:rowOff>
    </xdr:from>
    <xdr:to>
      <xdr:col>12</xdr:col>
      <xdr:colOff>0</xdr:colOff>
      <xdr:row>29</xdr:row>
      <xdr:rowOff>50800</xdr:rowOff>
    </xdr:to>
    <xdr:sp macro="" textlink="">
      <xdr:nvSpPr>
        <xdr:cNvPr id="2" name="TextBox 1">
          <a:extLst>
            <a:ext uri="{FF2B5EF4-FFF2-40B4-BE49-F238E27FC236}">
              <a16:creationId xmlns:a16="http://schemas.microsoft.com/office/drawing/2014/main" id="{877BFAAB-E749-3DBC-003C-718B8F2C0005}"/>
            </a:ext>
          </a:extLst>
        </xdr:cNvPr>
        <xdr:cNvSpPr txBox="1"/>
      </xdr:nvSpPr>
      <xdr:spPr>
        <a:xfrm>
          <a:off x="592667" y="5367867"/>
          <a:ext cx="9364133" cy="982133"/>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t>Senior and managerial roles such as Principal Data Scientist and Applied Machine Learning Scientist earn significantly higher average salaries compared to analyst-level roles.</a:t>
          </a:r>
        </a:p>
      </xdr:txBody>
    </xdr:sp>
    <xdr:clientData/>
  </xdr:twoCellAnchor>
  <xdr:twoCellAnchor>
    <xdr:from>
      <xdr:col>12</xdr:col>
      <xdr:colOff>592667</xdr:colOff>
      <xdr:row>26</xdr:row>
      <xdr:rowOff>84667</xdr:rowOff>
    </xdr:from>
    <xdr:to>
      <xdr:col>22</xdr:col>
      <xdr:colOff>50800</xdr:colOff>
      <xdr:row>29</xdr:row>
      <xdr:rowOff>67733</xdr:rowOff>
    </xdr:to>
    <xdr:sp macro="" textlink="">
      <xdr:nvSpPr>
        <xdr:cNvPr id="11" name="TextBox 10">
          <a:extLst>
            <a:ext uri="{FF2B5EF4-FFF2-40B4-BE49-F238E27FC236}">
              <a16:creationId xmlns:a16="http://schemas.microsoft.com/office/drawing/2014/main" id="{D9851E9E-E6E1-60EC-ED02-6E897B65D224}"/>
            </a:ext>
          </a:extLst>
        </xdr:cNvPr>
        <xdr:cNvSpPr txBox="1"/>
      </xdr:nvSpPr>
      <xdr:spPr>
        <a:xfrm>
          <a:off x="10549467" y="5367867"/>
          <a:ext cx="7755466" cy="999066"/>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t>Average salary increases consistently with experience, with senior-level professionals earning the highest compensation.</a:t>
          </a:r>
        </a:p>
      </xdr:txBody>
    </xdr:sp>
    <xdr:clientData/>
  </xdr:twoCellAnchor>
  <xdr:twoCellAnchor>
    <xdr:from>
      <xdr:col>0</xdr:col>
      <xdr:colOff>643467</xdr:colOff>
      <xdr:row>52</xdr:row>
      <xdr:rowOff>50800</xdr:rowOff>
    </xdr:from>
    <xdr:to>
      <xdr:col>11</xdr:col>
      <xdr:colOff>812800</xdr:colOff>
      <xdr:row>56</xdr:row>
      <xdr:rowOff>16933</xdr:rowOff>
    </xdr:to>
    <xdr:sp macro="" textlink="">
      <xdr:nvSpPr>
        <xdr:cNvPr id="12" name="TextBox 11">
          <a:extLst>
            <a:ext uri="{FF2B5EF4-FFF2-40B4-BE49-F238E27FC236}">
              <a16:creationId xmlns:a16="http://schemas.microsoft.com/office/drawing/2014/main" id="{A07232DB-30E6-C72E-511B-FA32C4E7A4AA}"/>
            </a:ext>
          </a:extLst>
        </xdr:cNvPr>
        <xdr:cNvSpPr txBox="1"/>
      </xdr:nvSpPr>
      <xdr:spPr>
        <a:xfrm>
          <a:off x="643467" y="11159067"/>
          <a:ext cx="9296400" cy="778933"/>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t>The United States dominates the job market with the highest number of job postings, indicating it as the primary hub for data science roles.</a:t>
          </a:r>
        </a:p>
      </xdr:txBody>
    </xdr:sp>
    <xdr:clientData/>
  </xdr:twoCellAnchor>
  <xdr:twoCellAnchor>
    <xdr:from>
      <xdr:col>12</xdr:col>
      <xdr:colOff>558800</xdr:colOff>
      <xdr:row>52</xdr:row>
      <xdr:rowOff>101600</xdr:rowOff>
    </xdr:from>
    <xdr:to>
      <xdr:col>21</xdr:col>
      <xdr:colOff>795867</xdr:colOff>
      <xdr:row>56</xdr:row>
      <xdr:rowOff>16933</xdr:rowOff>
    </xdr:to>
    <xdr:sp macro="" textlink="">
      <xdr:nvSpPr>
        <xdr:cNvPr id="13" name="TextBox 12">
          <a:extLst>
            <a:ext uri="{FF2B5EF4-FFF2-40B4-BE49-F238E27FC236}">
              <a16:creationId xmlns:a16="http://schemas.microsoft.com/office/drawing/2014/main" id="{DECE289E-D41D-E2B0-746C-13E3A01B6890}"/>
            </a:ext>
          </a:extLst>
        </xdr:cNvPr>
        <xdr:cNvSpPr txBox="1"/>
      </xdr:nvSpPr>
      <xdr:spPr>
        <a:xfrm>
          <a:off x="10515600" y="11209867"/>
          <a:ext cx="7704667" cy="728133"/>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t>Fully remote jobs make up the majority of job postings, highlighting a strong shift toward remote-first work culture.</a:t>
          </a:r>
        </a:p>
      </xdr:txBody>
    </xdr:sp>
    <xdr:clientData/>
  </xdr:twoCellAnchor>
  <xdr:twoCellAnchor editAs="oneCell">
    <xdr:from>
      <xdr:col>0</xdr:col>
      <xdr:colOff>149640</xdr:colOff>
      <xdr:row>0</xdr:row>
      <xdr:rowOff>12424</xdr:rowOff>
    </xdr:from>
    <xdr:to>
      <xdr:col>4</xdr:col>
      <xdr:colOff>786849</xdr:colOff>
      <xdr:row>3</xdr:row>
      <xdr:rowOff>200163</xdr:rowOff>
    </xdr:to>
    <mc:AlternateContent xmlns:mc="http://schemas.openxmlformats.org/markup-compatibility/2006">
      <mc:Choice xmlns:a14="http://schemas.microsoft.com/office/drawing/2010/main" Requires="a14">
        <xdr:graphicFrame macro="">
          <xdr:nvGraphicFramePr>
            <xdr:cNvPr id="18" name="work_year">
              <a:extLst>
                <a:ext uri="{FF2B5EF4-FFF2-40B4-BE49-F238E27FC236}">
                  <a16:creationId xmlns:a16="http://schemas.microsoft.com/office/drawing/2014/main" id="{1D4C70C3-98A2-FA5C-612E-9327C630CEDF}"/>
                </a:ext>
              </a:extLst>
            </xdr:cNvPr>
            <xdr:cNvGraphicFramePr/>
          </xdr:nvGraphicFramePr>
          <xdr:xfrm>
            <a:off x="0" y="0"/>
            <a:ext cx="0" cy="0"/>
          </xdr:xfrm>
          <a:graphic>
            <a:graphicData uri="http://schemas.microsoft.com/office/drawing/2010/slicer">
              <sle:slicer xmlns:sle="http://schemas.microsoft.com/office/drawing/2010/slicer" name="work_year"/>
            </a:graphicData>
          </a:graphic>
        </xdr:graphicFrame>
      </mc:Choice>
      <mc:Fallback>
        <xdr:sp macro="" textlink="">
          <xdr:nvSpPr>
            <xdr:cNvPr id="0" name=""/>
            <xdr:cNvSpPr>
              <a:spLocks noTextEdit="1"/>
            </xdr:cNvSpPr>
          </xdr:nvSpPr>
          <xdr:spPr>
            <a:xfrm>
              <a:off x="149640" y="12424"/>
              <a:ext cx="3956142" cy="7973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58.683006828702" createdVersion="8" refreshedVersion="8" minRefreshableVersion="3" recordCount="244" xr:uid="{1B4AA988-B92D-BA4C-A331-B4D2C235C3AF}">
  <cacheSource type="worksheet">
    <worksheetSource ref="A1:M245" sheet="Raw_data"/>
  </cacheSource>
  <cacheFields count="14">
    <cacheField name="work_year" numFmtId="0">
      <sharedItems containsSemiMixedTypes="0" containsString="0" containsNumber="1" containsInteger="1" minValue="2020" maxValue="2021" count="2">
        <n v="2021"/>
        <n v="2020"/>
      </sharedItems>
    </cacheField>
    <cacheField name="experience_level" numFmtId="0">
      <sharedItems/>
    </cacheField>
    <cacheField name="employment_type" numFmtId="0">
      <sharedItems/>
    </cacheField>
    <cacheField name="job_title" numFmtId="0">
      <sharedItems count="43">
        <s v="Data Science Consultant"/>
        <s v="Data Scientist"/>
        <s v="Head of Data Science"/>
        <s v="Head of Data"/>
        <s v="Machine Learning Engineer"/>
        <s v="Data Analytics Manager"/>
        <s v="Research Scientist"/>
        <s v="Data Analyst"/>
        <s v="Data Engineer"/>
        <s v="Data Science Engineer"/>
        <s v="Manager Data Science"/>
        <s v="Data Engineering Manager"/>
        <s v="AI Scientist"/>
        <s v="3D Computer Vision Researcher"/>
        <s v="ML Engineer"/>
        <s v="Applied Data Scientist"/>
        <s v="Director of Data Science"/>
        <s v="Data Analytics Engineer"/>
        <s v="Lead Data Analyst"/>
        <s v="BI Data Analyst"/>
        <s v="Machine Learning Scientist"/>
        <s v="Machine Learning Infrastructure Engineer"/>
        <s v="Marketing Data Analyst"/>
        <s v="Lead Data Engineer"/>
        <s v="Director of Data Engineering"/>
        <s v="Computer Vision Software Engineer"/>
        <s v="Financial Data Analyst"/>
        <s v="Cloud Data Engineer"/>
        <s v="Principal Data Analyst"/>
        <s v="Big Data Architect"/>
        <s v="Lead Data Scientist"/>
        <s v="Data Architect"/>
        <s v="Big Data Engineer"/>
        <s v="Staff Data Scientist"/>
        <s v="Data Science Manager"/>
        <s v="Business Data Analyst"/>
        <s v="Principal Data Scientist"/>
        <s v="Computer Vision Engineer"/>
        <s v="Product Data Analyst"/>
        <s v="Principal Data Engineer"/>
        <s v="Finance Data Analyst"/>
        <s v="Applied Machine Learning Scientist"/>
        <s v="Data Specialist"/>
      </sharedItems>
    </cacheField>
    <cacheField name="salary" numFmtId="0">
      <sharedItems containsSemiMixedTypes="0" containsString="0" containsNumber="1" containsInteger="1" minValue="4000" maxValue="30400000"/>
    </cacheField>
    <cacheField name="salary_currency" numFmtId="0">
      <sharedItems/>
    </cacheField>
    <cacheField name="salary_in_usd" numFmtId="0">
      <sharedItems containsSemiMixedTypes="0" containsString="0" containsNumber="1" containsInteger="1" minValue="2876" maxValue="600000"/>
    </cacheField>
    <cacheField name="employee_residence" numFmtId="0">
      <sharedItems/>
    </cacheField>
    <cacheField name="remote_ratio" numFmtId="0">
      <sharedItems containsSemiMixedTypes="0" containsString="0" containsNumber="1" containsInteger="1" minValue="0" maxValue="100"/>
    </cacheField>
    <cacheField name="company_location" numFmtId="0">
      <sharedItems count="41">
        <s v="DE"/>
        <s v="US"/>
        <s v="RU"/>
        <s v="FR"/>
        <s v="AT"/>
        <s v="CA"/>
        <s v="UA"/>
        <s v="NG"/>
        <s v="IN"/>
        <s v="ES"/>
        <s v="PL"/>
        <s v="GB"/>
        <s v="PT"/>
        <s v="DK"/>
        <s v="SG"/>
        <s v="MX"/>
        <s v="TR"/>
        <s v="NL"/>
        <s v="AE"/>
        <s v="JP"/>
        <s v="CN"/>
        <s v="HU"/>
        <s v="KE"/>
        <s v="CO"/>
        <s v="NZ"/>
        <s v="IR"/>
        <s v="CL"/>
        <s v="PK"/>
        <s v="BE"/>
        <s v="GR"/>
        <s v="SI"/>
        <s v="BR"/>
        <s v="CH"/>
        <s v="IT"/>
        <s v="MD"/>
        <s v="LU"/>
        <s v="VN"/>
        <s v="AS"/>
        <s v="HR"/>
        <s v="IL"/>
        <s v="MT"/>
      </sharedItems>
    </cacheField>
    <cacheField name="company_size" numFmtId="0">
      <sharedItems count="3">
        <s v="L"/>
        <s v="M"/>
        <s v="S"/>
      </sharedItems>
    </cacheField>
    <cacheField name="Experience_Name" numFmtId="0">
      <sharedItems count="4">
        <s v="Entry Level"/>
        <s v="Senior Level"/>
        <s v="Expert Level"/>
        <s v="Mid Level"/>
      </sharedItems>
    </cacheField>
    <cacheField name="Remote_Type" numFmtId="0">
      <sharedItems count="3">
        <s v="Hybrid"/>
        <s v="Full Remote"/>
        <s v="On-Site"/>
      </sharedItems>
    </cacheField>
    <cacheField name="Field1" numFmtId="0" formula=" 0" databaseField="0"/>
  </cacheFields>
  <extLst>
    <ext xmlns:x14="http://schemas.microsoft.com/office/spreadsheetml/2009/9/main" uri="{725AE2AE-9491-48be-B2B4-4EB974FC3084}">
      <x14:pivotCacheDefinition pivotCacheId="155615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4">
  <r>
    <x v="0"/>
    <s v="EN"/>
    <s v="FT"/>
    <x v="0"/>
    <n v="54000"/>
    <s v="EUR"/>
    <n v="64369"/>
    <s v="DE"/>
    <n v="50"/>
    <x v="0"/>
    <x v="0"/>
    <x v="0"/>
    <x v="0"/>
  </r>
  <r>
    <x v="1"/>
    <s v="SE"/>
    <s v="FT"/>
    <x v="1"/>
    <n v="60000"/>
    <s v="EUR"/>
    <n v="68428"/>
    <s v="GR"/>
    <n v="100"/>
    <x v="1"/>
    <x v="0"/>
    <x v="1"/>
    <x v="1"/>
  </r>
  <r>
    <x v="0"/>
    <s v="EX"/>
    <s v="FT"/>
    <x v="2"/>
    <n v="85000"/>
    <s v="USD"/>
    <n v="85000"/>
    <s v="RU"/>
    <n v="0"/>
    <x v="2"/>
    <x v="1"/>
    <x v="2"/>
    <x v="2"/>
  </r>
  <r>
    <x v="0"/>
    <s v="EX"/>
    <s v="FT"/>
    <x v="3"/>
    <n v="230000"/>
    <s v="USD"/>
    <n v="230000"/>
    <s v="RU"/>
    <n v="50"/>
    <x v="2"/>
    <x v="0"/>
    <x v="2"/>
    <x v="0"/>
  </r>
  <r>
    <x v="0"/>
    <s v="EN"/>
    <s v="FT"/>
    <x v="4"/>
    <n v="125000"/>
    <s v="USD"/>
    <n v="125000"/>
    <s v="US"/>
    <n v="100"/>
    <x v="1"/>
    <x v="2"/>
    <x v="0"/>
    <x v="1"/>
  </r>
  <r>
    <x v="0"/>
    <s v="SE"/>
    <s v="FT"/>
    <x v="5"/>
    <n v="120000"/>
    <s v="USD"/>
    <n v="120000"/>
    <s v="US"/>
    <n v="100"/>
    <x v="1"/>
    <x v="1"/>
    <x v="1"/>
    <x v="1"/>
  </r>
  <r>
    <x v="1"/>
    <s v="MI"/>
    <s v="FT"/>
    <x v="6"/>
    <n v="450000"/>
    <s v="USD"/>
    <n v="450000"/>
    <s v="US"/>
    <n v="0"/>
    <x v="1"/>
    <x v="1"/>
    <x v="3"/>
    <x v="2"/>
  </r>
  <r>
    <x v="1"/>
    <s v="MI"/>
    <s v="FT"/>
    <x v="7"/>
    <n v="41000"/>
    <s v="EUR"/>
    <n v="46759"/>
    <s v="FR"/>
    <n v="50"/>
    <x v="3"/>
    <x v="0"/>
    <x v="3"/>
    <x v="0"/>
  </r>
  <r>
    <x v="1"/>
    <s v="MI"/>
    <s v="FT"/>
    <x v="8"/>
    <n v="65000"/>
    <s v="EUR"/>
    <n v="74130"/>
    <s v="AT"/>
    <n v="50"/>
    <x v="4"/>
    <x v="0"/>
    <x v="3"/>
    <x v="0"/>
  </r>
  <r>
    <x v="0"/>
    <s v="SE"/>
    <s v="FT"/>
    <x v="9"/>
    <n v="159500"/>
    <s v="CAD"/>
    <n v="127543"/>
    <s v="CA"/>
    <n v="50"/>
    <x v="5"/>
    <x v="0"/>
    <x v="1"/>
    <x v="0"/>
  </r>
  <r>
    <x v="0"/>
    <s v="SE"/>
    <s v="FT"/>
    <x v="10"/>
    <n v="144000"/>
    <s v="USD"/>
    <n v="144000"/>
    <s v="US"/>
    <n v="100"/>
    <x v="1"/>
    <x v="0"/>
    <x v="1"/>
    <x v="1"/>
  </r>
  <r>
    <x v="0"/>
    <s v="EN"/>
    <s v="FT"/>
    <x v="1"/>
    <n v="13400"/>
    <s v="USD"/>
    <n v="13400"/>
    <s v="UA"/>
    <n v="100"/>
    <x v="6"/>
    <x v="0"/>
    <x v="0"/>
    <x v="1"/>
  </r>
  <r>
    <x v="0"/>
    <s v="MI"/>
    <s v="FT"/>
    <x v="1"/>
    <n v="95000"/>
    <s v="CAD"/>
    <n v="75966"/>
    <s v="CA"/>
    <n v="100"/>
    <x v="5"/>
    <x v="0"/>
    <x v="3"/>
    <x v="1"/>
  </r>
  <r>
    <x v="0"/>
    <s v="MI"/>
    <s v="FT"/>
    <x v="1"/>
    <n v="150000"/>
    <s v="USD"/>
    <n v="150000"/>
    <s v="US"/>
    <n v="100"/>
    <x v="1"/>
    <x v="1"/>
    <x v="3"/>
    <x v="1"/>
  </r>
  <r>
    <x v="1"/>
    <s v="MI"/>
    <s v="FT"/>
    <x v="0"/>
    <n v="103000"/>
    <s v="USD"/>
    <n v="103000"/>
    <s v="US"/>
    <n v="100"/>
    <x v="1"/>
    <x v="0"/>
    <x v="3"/>
    <x v="1"/>
  </r>
  <r>
    <x v="0"/>
    <s v="SE"/>
    <s v="FT"/>
    <x v="11"/>
    <n v="153000"/>
    <s v="USD"/>
    <n v="153000"/>
    <s v="US"/>
    <n v="100"/>
    <x v="1"/>
    <x v="0"/>
    <x v="1"/>
    <x v="1"/>
  </r>
  <r>
    <x v="0"/>
    <s v="MI"/>
    <s v="FT"/>
    <x v="8"/>
    <n v="90000"/>
    <s v="USD"/>
    <n v="90000"/>
    <s v="US"/>
    <n v="100"/>
    <x v="1"/>
    <x v="0"/>
    <x v="3"/>
    <x v="1"/>
  </r>
  <r>
    <x v="0"/>
    <s v="EN"/>
    <s v="FT"/>
    <x v="7"/>
    <n v="90000"/>
    <s v="USD"/>
    <n v="90000"/>
    <s v="US"/>
    <n v="100"/>
    <x v="1"/>
    <x v="2"/>
    <x v="0"/>
    <x v="1"/>
  </r>
  <r>
    <x v="0"/>
    <s v="EN"/>
    <s v="FT"/>
    <x v="7"/>
    <n v="60000"/>
    <s v="USD"/>
    <n v="60000"/>
    <s v="US"/>
    <n v="100"/>
    <x v="1"/>
    <x v="2"/>
    <x v="0"/>
    <x v="1"/>
  </r>
  <r>
    <x v="0"/>
    <s v="MI"/>
    <s v="FT"/>
    <x v="1"/>
    <n v="50000"/>
    <s v="USD"/>
    <n v="50000"/>
    <s v="NG"/>
    <n v="100"/>
    <x v="7"/>
    <x v="0"/>
    <x v="3"/>
    <x v="1"/>
  </r>
  <r>
    <x v="0"/>
    <s v="EN"/>
    <s v="PT"/>
    <x v="12"/>
    <n v="12000"/>
    <s v="USD"/>
    <n v="12000"/>
    <s v="PK"/>
    <n v="100"/>
    <x v="1"/>
    <x v="1"/>
    <x v="0"/>
    <x v="1"/>
  </r>
  <r>
    <x v="0"/>
    <s v="MI"/>
    <s v="PT"/>
    <x v="13"/>
    <n v="400000"/>
    <s v="INR"/>
    <n v="5423"/>
    <s v="IN"/>
    <n v="50"/>
    <x v="8"/>
    <x v="1"/>
    <x v="3"/>
    <x v="0"/>
  </r>
  <r>
    <x v="0"/>
    <s v="MI"/>
    <s v="CT"/>
    <x v="14"/>
    <n v="270000"/>
    <s v="USD"/>
    <n v="270000"/>
    <s v="US"/>
    <n v="100"/>
    <x v="1"/>
    <x v="0"/>
    <x v="3"/>
    <x v="1"/>
  </r>
  <r>
    <x v="0"/>
    <s v="MI"/>
    <s v="FT"/>
    <x v="15"/>
    <n v="68000"/>
    <s v="CAD"/>
    <n v="54376"/>
    <s v="GB"/>
    <n v="50"/>
    <x v="5"/>
    <x v="0"/>
    <x v="3"/>
    <x v="0"/>
  </r>
  <r>
    <x v="0"/>
    <s v="MI"/>
    <s v="FT"/>
    <x v="4"/>
    <n v="40000"/>
    <s v="EUR"/>
    <n v="47681"/>
    <s v="ES"/>
    <n v="100"/>
    <x v="9"/>
    <x v="2"/>
    <x v="3"/>
    <x v="1"/>
  </r>
  <r>
    <x v="0"/>
    <s v="EX"/>
    <s v="FT"/>
    <x v="16"/>
    <n v="130000"/>
    <s v="EUR"/>
    <n v="154963"/>
    <s v="IT"/>
    <n v="100"/>
    <x v="10"/>
    <x v="0"/>
    <x v="2"/>
    <x v="1"/>
  </r>
  <r>
    <x v="0"/>
    <s v="MI"/>
    <s v="FT"/>
    <x v="8"/>
    <n v="110000"/>
    <s v="PLN"/>
    <n v="28801"/>
    <s v="PL"/>
    <n v="100"/>
    <x v="10"/>
    <x v="0"/>
    <x v="3"/>
    <x v="1"/>
  </r>
  <r>
    <x v="0"/>
    <s v="MI"/>
    <s v="FT"/>
    <x v="17"/>
    <n v="110000"/>
    <s v="USD"/>
    <n v="110000"/>
    <s v="US"/>
    <n v="100"/>
    <x v="1"/>
    <x v="0"/>
    <x v="3"/>
    <x v="1"/>
  </r>
  <r>
    <x v="0"/>
    <s v="EN"/>
    <s v="FT"/>
    <x v="6"/>
    <n v="60000"/>
    <s v="GBP"/>
    <n v="83000"/>
    <s v="GB"/>
    <n v="50"/>
    <x v="11"/>
    <x v="0"/>
    <x v="0"/>
    <x v="0"/>
  </r>
  <r>
    <x v="1"/>
    <s v="EN"/>
    <s v="FT"/>
    <x v="4"/>
    <n v="250000"/>
    <s v="USD"/>
    <n v="250000"/>
    <s v="US"/>
    <n v="50"/>
    <x v="1"/>
    <x v="0"/>
    <x v="0"/>
    <x v="0"/>
  </r>
  <r>
    <x v="0"/>
    <s v="EN"/>
    <s v="FT"/>
    <x v="7"/>
    <n v="50000"/>
    <s v="EUR"/>
    <n v="59601"/>
    <s v="FR"/>
    <n v="50"/>
    <x v="3"/>
    <x v="1"/>
    <x v="0"/>
    <x v="0"/>
  </r>
  <r>
    <x v="0"/>
    <s v="SE"/>
    <s v="FT"/>
    <x v="7"/>
    <n v="80000"/>
    <s v="USD"/>
    <n v="80000"/>
    <s v="BG"/>
    <n v="100"/>
    <x v="1"/>
    <x v="2"/>
    <x v="1"/>
    <x v="1"/>
  </r>
  <r>
    <x v="1"/>
    <s v="EN"/>
    <s v="FT"/>
    <x v="7"/>
    <n v="10000"/>
    <s v="USD"/>
    <n v="10000"/>
    <s v="NG"/>
    <n v="100"/>
    <x v="7"/>
    <x v="2"/>
    <x v="0"/>
    <x v="1"/>
  </r>
  <r>
    <x v="1"/>
    <s v="EN"/>
    <s v="FT"/>
    <x v="4"/>
    <n v="138000"/>
    <s v="USD"/>
    <n v="138000"/>
    <s v="US"/>
    <n v="100"/>
    <x v="1"/>
    <x v="2"/>
    <x v="0"/>
    <x v="1"/>
  </r>
  <r>
    <x v="0"/>
    <s v="MI"/>
    <s v="FT"/>
    <x v="8"/>
    <n v="140000"/>
    <s v="USD"/>
    <n v="140000"/>
    <s v="US"/>
    <n v="100"/>
    <x v="1"/>
    <x v="0"/>
    <x v="3"/>
    <x v="1"/>
  </r>
  <r>
    <x v="0"/>
    <s v="SE"/>
    <s v="FT"/>
    <x v="17"/>
    <n v="67000"/>
    <s v="EUR"/>
    <n v="79866"/>
    <s v="DE"/>
    <n v="100"/>
    <x v="0"/>
    <x v="0"/>
    <x v="1"/>
    <x v="1"/>
  </r>
  <r>
    <x v="0"/>
    <s v="SE"/>
    <s v="FT"/>
    <x v="18"/>
    <n v="170000"/>
    <s v="USD"/>
    <n v="170000"/>
    <s v="US"/>
    <n v="100"/>
    <x v="1"/>
    <x v="0"/>
    <x v="1"/>
    <x v="1"/>
  </r>
  <r>
    <x v="0"/>
    <s v="EN"/>
    <s v="FT"/>
    <x v="7"/>
    <n v="80000"/>
    <s v="USD"/>
    <n v="80000"/>
    <s v="US"/>
    <n v="100"/>
    <x v="1"/>
    <x v="1"/>
    <x v="0"/>
    <x v="1"/>
  </r>
  <r>
    <x v="1"/>
    <s v="MI"/>
    <s v="FT"/>
    <x v="1"/>
    <n v="45760"/>
    <s v="USD"/>
    <n v="45760"/>
    <s v="PH"/>
    <n v="100"/>
    <x v="1"/>
    <x v="2"/>
    <x v="3"/>
    <x v="1"/>
  </r>
  <r>
    <x v="0"/>
    <s v="MI"/>
    <s v="FT"/>
    <x v="19"/>
    <n v="100000"/>
    <s v="USD"/>
    <n v="100000"/>
    <s v="US"/>
    <n v="100"/>
    <x v="1"/>
    <x v="1"/>
    <x v="3"/>
    <x v="1"/>
  </r>
  <r>
    <x v="0"/>
    <s v="SE"/>
    <s v="FT"/>
    <x v="1"/>
    <n v="45000"/>
    <s v="EUR"/>
    <n v="53641"/>
    <s v="FR"/>
    <n v="50"/>
    <x v="3"/>
    <x v="0"/>
    <x v="1"/>
    <x v="0"/>
  </r>
  <r>
    <x v="0"/>
    <s v="EX"/>
    <s v="FT"/>
    <x v="3"/>
    <n v="235000"/>
    <s v="USD"/>
    <n v="235000"/>
    <s v="US"/>
    <n v="100"/>
    <x v="1"/>
    <x v="0"/>
    <x v="2"/>
    <x v="1"/>
  </r>
  <r>
    <x v="0"/>
    <s v="EX"/>
    <s v="FT"/>
    <x v="19"/>
    <n v="150000"/>
    <s v="USD"/>
    <n v="150000"/>
    <s v="IN"/>
    <n v="100"/>
    <x v="1"/>
    <x v="0"/>
    <x v="2"/>
    <x v="1"/>
  </r>
  <r>
    <x v="1"/>
    <s v="EX"/>
    <s v="FT"/>
    <x v="11"/>
    <n v="70000"/>
    <s v="EUR"/>
    <n v="79833"/>
    <s v="ES"/>
    <n v="50"/>
    <x v="9"/>
    <x v="0"/>
    <x v="2"/>
    <x v="0"/>
  </r>
  <r>
    <x v="0"/>
    <s v="EN"/>
    <s v="FT"/>
    <x v="20"/>
    <n v="225000"/>
    <s v="USD"/>
    <n v="225000"/>
    <s v="US"/>
    <n v="100"/>
    <x v="1"/>
    <x v="0"/>
    <x v="0"/>
    <x v="1"/>
  </r>
  <r>
    <x v="0"/>
    <s v="EN"/>
    <s v="FT"/>
    <x v="0"/>
    <n v="65000"/>
    <s v="EUR"/>
    <n v="77481"/>
    <s v="DE"/>
    <n v="100"/>
    <x v="0"/>
    <x v="2"/>
    <x v="0"/>
    <x v="1"/>
  </r>
  <r>
    <x v="1"/>
    <s v="MI"/>
    <s v="FT"/>
    <x v="21"/>
    <n v="44000"/>
    <s v="EUR"/>
    <n v="50180"/>
    <s v="PT"/>
    <n v="0"/>
    <x v="12"/>
    <x v="1"/>
    <x v="3"/>
    <x v="2"/>
  </r>
  <r>
    <x v="0"/>
    <s v="SE"/>
    <s v="FT"/>
    <x v="22"/>
    <n v="75000"/>
    <s v="EUR"/>
    <n v="89402"/>
    <s v="GR"/>
    <n v="100"/>
    <x v="13"/>
    <x v="0"/>
    <x v="1"/>
    <x v="1"/>
  </r>
  <r>
    <x v="0"/>
    <s v="SE"/>
    <s v="FT"/>
    <x v="23"/>
    <n v="75000"/>
    <s v="GBP"/>
    <n v="103750"/>
    <s v="GB"/>
    <n v="100"/>
    <x v="11"/>
    <x v="2"/>
    <x v="1"/>
    <x v="1"/>
  </r>
  <r>
    <x v="0"/>
    <s v="SE"/>
    <s v="FT"/>
    <x v="24"/>
    <n v="82500"/>
    <s v="GBP"/>
    <n v="114125"/>
    <s v="GB"/>
    <n v="100"/>
    <x v="11"/>
    <x v="1"/>
    <x v="1"/>
    <x v="1"/>
  </r>
  <r>
    <x v="0"/>
    <s v="SE"/>
    <s v="FT"/>
    <x v="4"/>
    <n v="80000"/>
    <s v="EUR"/>
    <n v="95362"/>
    <s v="DE"/>
    <n v="50"/>
    <x v="0"/>
    <x v="0"/>
    <x v="1"/>
    <x v="0"/>
  </r>
  <r>
    <x v="0"/>
    <s v="EN"/>
    <s v="FT"/>
    <x v="8"/>
    <n v="2250000"/>
    <s v="INR"/>
    <n v="30509"/>
    <s v="IN"/>
    <n v="100"/>
    <x v="8"/>
    <x v="0"/>
    <x v="0"/>
    <x v="1"/>
  </r>
  <r>
    <x v="0"/>
    <s v="SE"/>
    <s v="FT"/>
    <x v="8"/>
    <n v="150000"/>
    <s v="USD"/>
    <n v="150000"/>
    <s v="US"/>
    <n v="100"/>
    <x v="1"/>
    <x v="1"/>
    <x v="1"/>
    <x v="1"/>
  </r>
  <r>
    <x v="0"/>
    <s v="SE"/>
    <s v="FT"/>
    <x v="8"/>
    <n v="115000"/>
    <s v="USD"/>
    <n v="115000"/>
    <s v="US"/>
    <n v="100"/>
    <x v="1"/>
    <x v="2"/>
    <x v="1"/>
    <x v="1"/>
  </r>
  <r>
    <x v="0"/>
    <s v="MI"/>
    <s v="FT"/>
    <x v="6"/>
    <n v="235000"/>
    <s v="CAD"/>
    <n v="187917"/>
    <s v="CA"/>
    <n v="100"/>
    <x v="5"/>
    <x v="0"/>
    <x v="3"/>
    <x v="1"/>
  </r>
  <r>
    <x v="0"/>
    <s v="MI"/>
    <s v="FT"/>
    <x v="7"/>
    <n v="37456"/>
    <s v="GBP"/>
    <n v="51814"/>
    <s v="GB"/>
    <n v="50"/>
    <x v="11"/>
    <x v="0"/>
    <x v="3"/>
    <x v="0"/>
  </r>
  <r>
    <x v="1"/>
    <s v="MI"/>
    <s v="FT"/>
    <x v="8"/>
    <n v="106000"/>
    <s v="USD"/>
    <n v="106000"/>
    <s v="US"/>
    <n v="100"/>
    <x v="1"/>
    <x v="0"/>
    <x v="3"/>
    <x v="1"/>
  </r>
  <r>
    <x v="1"/>
    <s v="MI"/>
    <s v="FT"/>
    <x v="8"/>
    <n v="88000"/>
    <s v="GBP"/>
    <n v="112872"/>
    <s v="GB"/>
    <n v="50"/>
    <x v="11"/>
    <x v="0"/>
    <x v="3"/>
    <x v="0"/>
  </r>
  <r>
    <x v="0"/>
    <s v="MI"/>
    <s v="FT"/>
    <x v="19"/>
    <n v="11000000"/>
    <s v="HUF"/>
    <n v="36732"/>
    <s v="HU"/>
    <n v="50"/>
    <x v="1"/>
    <x v="0"/>
    <x v="3"/>
    <x v="0"/>
  </r>
  <r>
    <x v="0"/>
    <s v="SE"/>
    <s v="FT"/>
    <x v="8"/>
    <n v="150000"/>
    <s v="USD"/>
    <n v="150000"/>
    <s v="US"/>
    <n v="100"/>
    <x v="1"/>
    <x v="0"/>
    <x v="1"/>
    <x v="1"/>
  </r>
  <r>
    <x v="1"/>
    <s v="EN"/>
    <s v="PT"/>
    <x v="14"/>
    <n v="14000"/>
    <s v="EUR"/>
    <n v="15966"/>
    <s v="DE"/>
    <n v="100"/>
    <x v="0"/>
    <x v="2"/>
    <x v="0"/>
    <x v="1"/>
  </r>
  <r>
    <x v="0"/>
    <s v="MI"/>
    <s v="FT"/>
    <x v="25"/>
    <n v="81000"/>
    <s v="EUR"/>
    <n v="96554"/>
    <s v="DE"/>
    <n v="100"/>
    <x v="1"/>
    <x v="2"/>
    <x v="3"/>
    <x v="1"/>
  </r>
  <r>
    <x v="0"/>
    <s v="EN"/>
    <s v="FT"/>
    <x v="25"/>
    <n v="70000"/>
    <s v="USD"/>
    <n v="70000"/>
    <s v="US"/>
    <n v="100"/>
    <x v="1"/>
    <x v="1"/>
    <x v="0"/>
    <x v="1"/>
  </r>
  <r>
    <x v="0"/>
    <s v="MI"/>
    <s v="FT"/>
    <x v="26"/>
    <n v="450000"/>
    <s v="USD"/>
    <n v="450000"/>
    <s v="US"/>
    <n v="100"/>
    <x v="1"/>
    <x v="0"/>
    <x v="3"/>
    <x v="1"/>
  </r>
  <r>
    <x v="1"/>
    <s v="MI"/>
    <s v="FT"/>
    <x v="1"/>
    <n v="60000"/>
    <s v="GBP"/>
    <n v="76958"/>
    <s v="GB"/>
    <n v="100"/>
    <x v="11"/>
    <x v="2"/>
    <x v="3"/>
    <x v="1"/>
  </r>
  <r>
    <x v="0"/>
    <s v="MI"/>
    <s v="FT"/>
    <x v="27"/>
    <n v="120000"/>
    <s v="SGD"/>
    <n v="89514"/>
    <s v="SG"/>
    <n v="50"/>
    <x v="14"/>
    <x v="0"/>
    <x v="3"/>
    <x v="0"/>
  </r>
  <r>
    <x v="0"/>
    <s v="EN"/>
    <s v="FT"/>
    <x v="1"/>
    <n v="2200000"/>
    <s v="INR"/>
    <n v="29831"/>
    <s v="IN"/>
    <n v="50"/>
    <x v="8"/>
    <x v="0"/>
    <x v="0"/>
    <x v="0"/>
  </r>
  <r>
    <x v="0"/>
    <s v="SE"/>
    <s v="FT"/>
    <x v="23"/>
    <n v="276000"/>
    <s v="USD"/>
    <n v="276000"/>
    <s v="US"/>
    <n v="0"/>
    <x v="1"/>
    <x v="0"/>
    <x v="1"/>
    <x v="2"/>
  </r>
  <r>
    <x v="1"/>
    <s v="SE"/>
    <s v="FT"/>
    <x v="8"/>
    <n v="188000"/>
    <s v="USD"/>
    <n v="188000"/>
    <s v="US"/>
    <n v="100"/>
    <x v="1"/>
    <x v="0"/>
    <x v="1"/>
    <x v="1"/>
  </r>
  <r>
    <x v="0"/>
    <s v="SE"/>
    <s v="FT"/>
    <x v="27"/>
    <n v="160000"/>
    <s v="USD"/>
    <n v="160000"/>
    <s v="BR"/>
    <n v="100"/>
    <x v="1"/>
    <x v="2"/>
    <x v="1"/>
    <x v="1"/>
  </r>
  <r>
    <x v="1"/>
    <s v="MI"/>
    <s v="FT"/>
    <x v="1"/>
    <n v="105000"/>
    <s v="USD"/>
    <n v="105000"/>
    <s v="US"/>
    <n v="100"/>
    <x v="1"/>
    <x v="0"/>
    <x v="3"/>
    <x v="1"/>
  </r>
  <r>
    <x v="0"/>
    <s v="MI"/>
    <s v="FT"/>
    <x v="8"/>
    <n v="200000"/>
    <s v="USD"/>
    <n v="200000"/>
    <s v="US"/>
    <n v="100"/>
    <x v="1"/>
    <x v="0"/>
    <x v="3"/>
    <x v="1"/>
  </r>
  <r>
    <x v="0"/>
    <s v="SE"/>
    <s v="FT"/>
    <x v="11"/>
    <n v="174000"/>
    <s v="USD"/>
    <n v="174000"/>
    <s v="US"/>
    <n v="100"/>
    <x v="1"/>
    <x v="0"/>
    <x v="1"/>
    <x v="1"/>
  </r>
  <r>
    <x v="0"/>
    <s v="MI"/>
    <s v="FT"/>
    <x v="7"/>
    <n v="93000"/>
    <s v="USD"/>
    <n v="93000"/>
    <s v="US"/>
    <n v="100"/>
    <x v="1"/>
    <x v="0"/>
    <x v="3"/>
    <x v="1"/>
  </r>
  <r>
    <x v="0"/>
    <s v="EN"/>
    <s v="FT"/>
    <x v="1"/>
    <n v="2100000"/>
    <s v="INR"/>
    <n v="28475"/>
    <s v="IN"/>
    <n v="100"/>
    <x v="8"/>
    <x v="1"/>
    <x v="0"/>
    <x v="1"/>
  </r>
  <r>
    <x v="0"/>
    <s v="SE"/>
    <s v="FT"/>
    <x v="6"/>
    <n v="51400"/>
    <s v="EUR"/>
    <n v="61270"/>
    <s v="PT"/>
    <n v="50"/>
    <x v="12"/>
    <x v="0"/>
    <x v="1"/>
    <x v="0"/>
  </r>
  <r>
    <x v="0"/>
    <s v="EN"/>
    <s v="FT"/>
    <x v="1"/>
    <n v="90000"/>
    <s v="USD"/>
    <n v="90000"/>
    <s v="US"/>
    <n v="100"/>
    <x v="1"/>
    <x v="2"/>
    <x v="0"/>
    <x v="1"/>
  </r>
  <r>
    <x v="1"/>
    <s v="MI"/>
    <s v="FT"/>
    <x v="8"/>
    <n v="61500"/>
    <s v="EUR"/>
    <n v="70139"/>
    <s v="FR"/>
    <n v="50"/>
    <x v="3"/>
    <x v="0"/>
    <x v="3"/>
    <x v="0"/>
  </r>
  <r>
    <x v="1"/>
    <s v="EN"/>
    <s v="FT"/>
    <x v="7"/>
    <n v="450000"/>
    <s v="INR"/>
    <n v="6072"/>
    <s v="IN"/>
    <n v="0"/>
    <x v="8"/>
    <x v="2"/>
    <x v="0"/>
    <x v="2"/>
  </r>
  <r>
    <x v="1"/>
    <s v="SE"/>
    <s v="FT"/>
    <x v="8"/>
    <n v="720000"/>
    <s v="MXN"/>
    <n v="33511"/>
    <s v="MX"/>
    <n v="0"/>
    <x v="15"/>
    <x v="2"/>
    <x v="1"/>
    <x v="2"/>
  </r>
  <r>
    <x v="0"/>
    <s v="SE"/>
    <s v="FT"/>
    <x v="28"/>
    <n v="170000"/>
    <s v="USD"/>
    <n v="170000"/>
    <s v="US"/>
    <n v="100"/>
    <x v="1"/>
    <x v="1"/>
    <x v="1"/>
    <x v="1"/>
  </r>
  <r>
    <x v="0"/>
    <s v="SE"/>
    <s v="FT"/>
    <x v="8"/>
    <n v="70000"/>
    <s v="GBP"/>
    <n v="96833"/>
    <s v="GB"/>
    <n v="50"/>
    <x v="11"/>
    <x v="0"/>
    <x v="1"/>
    <x v="0"/>
  </r>
  <r>
    <x v="0"/>
    <s v="MI"/>
    <s v="FT"/>
    <x v="8"/>
    <n v="108000"/>
    <s v="TRY"/>
    <n v="13105"/>
    <s v="TR"/>
    <n v="0"/>
    <x v="16"/>
    <x v="1"/>
    <x v="3"/>
    <x v="2"/>
  </r>
  <r>
    <x v="0"/>
    <s v="EN"/>
    <s v="FT"/>
    <x v="1"/>
    <n v="31000"/>
    <s v="EUR"/>
    <n v="36952"/>
    <s v="FR"/>
    <n v="50"/>
    <x v="3"/>
    <x v="0"/>
    <x v="0"/>
    <x v="0"/>
  </r>
  <r>
    <x v="0"/>
    <s v="MI"/>
    <s v="FT"/>
    <x v="8"/>
    <n v="52500"/>
    <s v="GBP"/>
    <n v="72625"/>
    <s v="GB"/>
    <n v="50"/>
    <x v="11"/>
    <x v="0"/>
    <x v="3"/>
    <x v="0"/>
  </r>
  <r>
    <x v="1"/>
    <s v="EN"/>
    <s v="FT"/>
    <x v="7"/>
    <n v="91000"/>
    <s v="USD"/>
    <n v="91000"/>
    <s v="US"/>
    <n v="100"/>
    <x v="1"/>
    <x v="0"/>
    <x v="0"/>
    <x v="1"/>
  </r>
  <r>
    <x v="0"/>
    <s v="SE"/>
    <s v="FT"/>
    <x v="29"/>
    <n v="125000"/>
    <s v="CAD"/>
    <n v="99956"/>
    <s v="CA"/>
    <n v="50"/>
    <x v="5"/>
    <x v="1"/>
    <x v="1"/>
    <x v="0"/>
  </r>
  <r>
    <x v="0"/>
    <s v="SE"/>
    <s v="FT"/>
    <x v="1"/>
    <n v="165000"/>
    <s v="USD"/>
    <n v="165000"/>
    <s v="US"/>
    <n v="100"/>
    <x v="1"/>
    <x v="0"/>
    <x v="1"/>
    <x v="1"/>
  </r>
  <r>
    <x v="0"/>
    <s v="MI"/>
    <s v="FT"/>
    <x v="7"/>
    <n v="80000"/>
    <s v="USD"/>
    <n v="80000"/>
    <s v="US"/>
    <n v="100"/>
    <x v="1"/>
    <x v="0"/>
    <x v="3"/>
    <x v="1"/>
  </r>
  <r>
    <x v="0"/>
    <s v="SE"/>
    <s v="FT"/>
    <x v="1"/>
    <n v="130000"/>
    <s v="CAD"/>
    <n v="103954"/>
    <s v="CA"/>
    <n v="100"/>
    <x v="5"/>
    <x v="0"/>
    <x v="1"/>
    <x v="1"/>
  </r>
  <r>
    <x v="0"/>
    <s v="EN"/>
    <s v="FT"/>
    <x v="8"/>
    <n v="1600000"/>
    <s v="INR"/>
    <n v="21695"/>
    <s v="IN"/>
    <n v="50"/>
    <x v="8"/>
    <x v="1"/>
    <x v="0"/>
    <x v="0"/>
  </r>
  <r>
    <x v="1"/>
    <s v="EN"/>
    <s v="FT"/>
    <x v="6"/>
    <n v="42000"/>
    <s v="USD"/>
    <n v="42000"/>
    <s v="NL"/>
    <n v="50"/>
    <x v="17"/>
    <x v="0"/>
    <x v="0"/>
    <x v="0"/>
  </r>
  <r>
    <x v="1"/>
    <s v="MI"/>
    <s v="FT"/>
    <x v="30"/>
    <n v="115000"/>
    <s v="USD"/>
    <n v="115000"/>
    <s v="AE"/>
    <n v="0"/>
    <x v="18"/>
    <x v="0"/>
    <x v="3"/>
    <x v="2"/>
  </r>
  <r>
    <x v="0"/>
    <s v="MI"/>
    <s v="FT"/>
    <x v="6"/>
    <n v="80000"/>
    <s v="CAD"/>
    <n v="63971"/>
    <s v="CA"/>
    <n v="100"/>
    <x v="5"/>
    <x v="1"/>
    <x v="3"/>
    <x v="1"/>
  </r>
  <r>
    <x v="1"/>
    <s v="SE"/>
    <s v="FT"/>
    <x v="20"/>
    <n v="260000"/>
    <s v="USD"/>
    <n v="260000"/>
    <s v="JP"/>
    <n v="0"/>
    <x v="19"/>
    <x v="2"/>
    <x v="1"/>
    <x v="2"/>
  </r>
  <r>
    <x v="0"/>
    <s v="MI"/>
    <s v="FT"/>
    <x v="2"/>
    <n v="110000"/>
    <s v="USD"/>
    <n v="110000"/>
    <s v="US"/>
    <n v="0"/>
    <x v="1"/>
    <x v="2"/>
    <x v="3"/>
    <x v="2"/>
  </r>
  <r>
    <x v="0"/>
    <s v="MI"/>
    <s v="FT"/>
    <x v="31"/>
    <n v="180000"/>
    <s v="USD"/>
    <n v="180000"/>
    <s v="US"/>
    <n v="100"/>
    <x v="1"/>
    <x v="0"/>
    <x v="3"/>
    <x v="1"/>
  </r>
  <r>
    <x v="0"/>
    <s v="SE"/>
    <s v="FT"/>
    <x v="7"/>
    <n v="200000"/>
    <s v="USD"/>
    <n v="200000"/>
    <s v="US"/>
    <n v="100"/>
    <x v="1"/>
    <x v="0"/>
    <x v="1"/>
    <x v="1"/>
  </r>
  <r>
    <x v="1"/>
    <s v="SE"/>
    <s v="FT"/>
    <x v="32"/>
    <n v="85000"/>
    <s v="GBP"/>
    <n v="109024"/>
    <s v="GB"/>
    <n v="50"/>
    <x v="11"/>
    <x v="1"/>
    <x v="1"/>
    <x v="0"/>
  </r>
  <r>
    <x v="0"/>
    <s v="SE"/>
    <s v="FT"/>
    <x v="24"/>
    <n v="200000"/>
    <s v="USD"/>
    <n v="200000"/>
    <s v="US"/>
    <n v="100"/>
    <x v="1"/>
    <x v="0"/>
    <x v="1"/>
    <x v="1"/>
  </r>
  <r>
    <x v="0"/>
    <s v="SE"/>
    <s v="FT"/>
    <x v="14"/>
    <n v="256000"/>
    <s v="USD"/>
    <n v="256000"/>
    <s v="US"/>
    <n v="100"/>
    <x v="1"/>
    <x v="2"/>
    <x v="1"/>
    <x v="1"/>
  </r>
  <r>
    <x v="0"/>
    <s v="MI"/>
    <s v="FT"/>
    <x v="8"/>
    <n v="110000"/>
    <s v="USD"/>
    <n v="110000"/>
    <s v="US"/>
    <n v="100"/>
    <x v="1"/>
    <x v="0"/>
    <x v="3"/>
    <x v="1"/>
  </r>
  <r>
    <x v="1"/>
    <s v="MI"/>
    <s v="FT"/>
    <x v="1"/>
    <n v="70000"/>
    <s v="EUR"/>
    <n v="79833"/>
    <s v="DE"/>
    <n v="0"/>
    <x v="0"/>
    <x v="0"/>
    <x v="3"/>
    <x v="2"/>
  </r>
  <r>
    <x v="0"/>
    <s v="EN"/>
    <s v="FT"/>
    <x v="8"/>
    <n v="72500"/>
    <s v="USD"/>
    <n v="72500"/>
    <s v="US"/>
    <n v="100"/>
    <x v="1"/>
    <x v="0"/>
    <x v="0"/>
    <x v="1"/>
  </r>
  <r>
    <x v="0"/>
    <s v="SE"/>
    <s v="FT"/>
    <x v="4"/>
    <n v="185000"/>
    <s v="USD"/>
    <n v="185000"/>
    <s v="US"/>
    <n v="50"/>
    <x v="1"/>
    <x v="0"/>
    <x v="1"/>
    <x v="0"/>
  </r>
  <r>
    <x v="0"/>
    <s v="MI"/>
    <s v="PT"/>
    <x v="8"/>
    <n v="59000"/>
    <s v="EUR"/>
    <n v="70329"/>
    <s v="NL"/>
    <n v="100"/>
    <x v="17"/>
    <x v="0"/>
    <x v="3"/>
    <x v="1"/>
  </r>
  <r>
    <x v="0"/>
    <s v="EN"/>
    <s v="FT"/>
    <x v="6"/>
    <n v="100000"/>
    <s v="USD"/>
    <n v="100000"/>
    <s v="JE"/>
    <n v="0"/>
    <x v="20"/>
    <x v="0"/>
    <x v="0"/>
    <x v="2"/>
  </r>
  <r>
    <x v="0"/>
    <s v="MI"/>
    <s v="FT"/>
    <x v="8"/>
    <n v="112000"/>
    <s v="USD"/>
    <n v="112000"/>
    <s v="US"/>
    <n v="100"/>
    <x v="1"/>
    <x v="0"/>
    <x v="3"/>
    <x v="1"/>
  </r>
  <r>
    <x v="1"/>
    <s v="SE"/>
    <s v="FT"/>
    <x v="4"/>
    <n v="150000"/>
    <s v="USD"/>
    <n v="150000"/>
    <s v="US"/>
    <n v="50"/>
    <x v="1"/>
    <x v="0"/>
    <x v="1"/>
    <x v="0"/>
  </r>
  <r>
    <x v="0"/>
    <s v="SE"/>
    <s v="FT"/>
    <x v="1"/>
    <n v="180000"/>
    <s v="TRY"/>
    <n v="21843"/>
    <s v="TR"/>
    <n v="50"/>
    <x v="16"/>
    <x v="0"/>
    <x v="1"/>
    <x v="0"/>
  </r>
  <r>
    <x v="0"/>
    <s v="SE"/>
    <s v="FT"/>
    <x v="12"/>
    <n v="55000"/>
    <s v="USD"/>
    <n v="55000"/>
    <s v="ES"/>
    <n v="100"/>
    <x v="9"/>
    <x v="0"/>
    <x v="1"/>
    <x v="1"/>
  </r>
  <r>
    <x v="0"/>
    <s v="EN"/>
    <s v="FT"/>
    <x v="1"/>
    <n v="58000"/>
    <s v="USD"/>
    <n v="58000"/>
    <s v="US"/>
    <n v="50"/>
    <x v="1"/>
    <x v="0"/>
    <x v="0"/>
    <x v="0"/>
  </r>
  <r>
    <x v="0"/>
    <s v="EN"/>
    <s v="FT"/>
    <x v="1"/>
    <n v="100000"/>
    <s v="USD"/>
    <n v="100000"/>
    <s v="US"/>
    <n v="100"/>
    <x v="1"/>
    <x v="1"/>
    <x v="0"/>
    <x v="1"/>
  </r>
  <r>
    <x v="0"/>
    <s v="SE"/>
    <s v="FT"/>
    <x v="1"/>
    <n v="65720"/>
    <s v="EUR"/>
    <n v="78340"/>
    <s v="FR"/>
    <n v="50"/>
    <x v="3"/>
    <x v="1"/>
    <x v="1"/>
    <x v="0"/>
  </r>
  <r>
    <x v="0"/>
    <s v="EN"/>
    <s v="FT"/>
    <x v="4"/>
    <n v="85000"/>
    <s v="USD"/>
    <n v="85000"/>
    <s v="NL"/>
    <n v="100"/>
    <x v="0"/>
    <x v="2"/>
    <x v="0"/>
    <x v="1"/>
  </r>
  <r>
    <x v="0"/>
    <s v="EN"/>
    <s v="FT"/>
    <x v="0"/>
    <n v="65000"/>
    <s v="EUR"/>
    <n v="77481"/>
    <s v="DE"/>
    <n v="0"/>
    <x v="0"/>
    <x v="0"/>
    <x v="0"/>
    <x v="2"/>
  </r>
  <r>
    <x v="0"/>
    <s v="SE"/>
    <s v="CT"/>
    <x v="33"/>
    <n v="105000"/>
    <s v="USD"/>
    <n v="105000"/>
    <s v="US"/>
    <n v="100"/>
    <x v="1"/>
    <x v="1"/>
    <x v="1"/>
    <x v="1"/>
  </r>
  <r>
    <x v="1"/>
    <s v="EN"/>
    <s v="FT"/>
    <x v="7"/>
    <n v="72000"/>
    <s v="USD"/>
    <n v="72000"/>
    <s v="US"/>
    <n v="100"/>
    <x v="1"/>
    <x v="0"/>
    <x v="0"/>
    <x v="1"/>
  </r>
  <r>
    <x v="0"/>
    <s v="EN"/>
    <s v="FT"/>
    <x v="8"/>
    <n v="55000"/>
    <s v="EUR"/>
    <n v="65561"/>
    <s v="DE"/>
    <n v="50"/>
    <x v="0"/>
    <x v="1"/>
    <x v="0"/>
    <x v="0"/>
  </r>
  <r>
    <x v="0"/>
    <s v="MI"/>
    <s v="FT"/>
    <x v="8"/>
    <n v="250000"/>
    <s v="TRY"/>
    <n v="30337"/>
    <s v="TR"/>
    <n v="100"/>
    <x v="16"/>
    <x v="1"/>
    <x v="3"/>
    <x v="1"/>
  </r>
  <r>
    <x v="0"/>
    <s v="MI"/>
    <s v="FT"/>
    <x v="8"/>
    <n v="111775"/>
    <s v="USD"/>
    <n v="111775"/>
    <s v="US"/>
    <n v="0"/>
    <x v="1"/>
    <x v="1"/>
    <x v="3"/>
    <x v="2"/>
  </r>
  <r>
    <x v="0"/>
    <s v="MI"/>
    <s v="FT"/>
    <x v="8"/>
    <n v="93150"/>
    <s v="USD"/>
    <n v="93150"/>
    <s v="US"/>
    <n v="0"/>
    <x v="1"/>
    <x v="1"/>
    <x v="3"/>
    <x v="2"/>
  </r>
  <r>
    <x v="0"/>
    <s v="SE"/>
    <s v="FT"/>
    <x v="23"/>
    <n v="160000"/>
    <s v="USD"/>
    <n v="160000"/>
    <s v="PR"/>
    <n v="50"/>
    <x v="1"/>
    <x v="2"/>
    <x v="1"/>
    <x v="0"/>
  </r>
  <r>
    <x v="0"/>
    <s v="MI"/>
    <s v="FT"/>
    <x v="1"/>
    <n v="21600"/>
    <s v="EUR"/>
    <n v="25747"/>
    <s v="RS"/>
    <n v="100"/>
    <x v="0"/>
    <x v="2"/>
    <x v="3"/>
    <x v="1"/>
  </r>
  <r>
    <x v="0"/>
    <s v="SE"/>
    <s v="FT"/>
    <x v="4"/>
    <n v="4900000"/>
    <s v="INR"/>
    <n v="66442"/>
    <s v="IN"/>
    <n v="0"/>
    <x v="8"/>
    <x v="0"/>
    <x v="1"/>
    <x v="2"/>
  </r>
  <r>
    <x v="0"/>
    <s v="MI"/>
    <s v="FT"/>
    <x v="1"/>
    <n v="1250000"/>
    <s v="INR"/>
    <n v="16949"/>
    <s v="IN"/>
    <n v="100"/>
    <x v="8"/>
    <x v="2"/>
    <x v="3"/>
    <x v="1"/>
  </r>
  <r>
    <x v="0"/>
    <s v="SE"/>
    <s v="FT"/>
    <x v="7"/>
    <n v="54000"/>
    <s v="EUR"/>
    <n v="64369"/>
    <s v="DE"/>
    <n v="50"/>
    <x v="0"/>
    <x v="0"/>
    <x v="1"/>
    <x v="0"/>
  </r>
  <r>
    <x v="1"/>
    <s v="SE"/>
    <s v="FT"/>
    <x v="30"/>
    <n v="190000"/>
    <s v="USD"/>
    <n v="190000"/>
    <s v="US"/>
    <n v="100"/>
    <x v="1"/>
    <x v="2"/>
    <x v="1"/>
    <x v="1"/>
  </r>
  <r>
    <x v="0"/>
    <s v="EX"/>
    <s v="FT"/>
    <x v="16"/>
    <n v="120000"/>
    <s v="EUR"/>
    <n v="143043"/>
    <s v="DE"/>
    <n v="0"/>
    <x v="0"/>
    <x v="0"/>
    <x v="2"/>
    <x v="2"/>
  </r>
  <r>
    <x v="0"/>
    <s v="EN"/>
    <s v="FT"/>
    <x v="32"/>
    <n v="1200000"/>
    <s v="INR"/>
    <n v="16271"/>
    <s v="IN"/>
    <n v="100"/>
    <x v="8"/>
    <x v="0"/>
    <x v="0"/>
    <x v="1"/>
  </r>
  <r>
    <x v="0"/>
    <s v="SE"/>
    <s v="FT"/>
    <x v="7"/>
    <n v="90000"/>
    <s v="CAD"/>
    <n v="71968"/>
    <s v="CA"/>
    <n v="100"/>
    <x v="5"/>
    <x v="1"/>
    <x v="1"/>
    <x v="1"/>
  </r>
  <r>
    <x v="1"/>
    <s v="MI"/>
    <s v="FT"/>
    <x v="1"/>
    <n v="11000000"/>
    <s v="HUF"/>
    <n v="35735"/>
    <s v="HU"/>
    <n v="50"/>
    <x v="21"/>
    <x v="0"/>
    <x v="3"/>
    <x v="0"/>
  </r>
  <r>
    <x v="0"/>
    <s v="SE"/>
    <s v="FT"/>
    <x v="1"/>
    <n v="135000"/>
    <s v="USD"/>
    <n v="135000"/>
    <s v="US"/>
    <n v="0"/>
    <x v="1"/>
    <x v="0"/>
    <x v="1"/>
    <x v="2"/>
  </r>
  <r>
    <x v="0"/>
    <s v="EN"/>
    <s v="FT"/>
    <x v="4"/>
    <n v="21000"/>
    <s v="EUR"/>
    <n v="25032"/>
    <s v="DE"/>
    <n v="50"/>
    <x v="0"/>
    <x v="1"/>
    <x v="0"/>
    <x v="0"/>
  </r>
  <r>
    <x v="0"/>
    <s v="SE"/>
    <s v="FT"/>
    <x v="34"/>
    <n v="4000000"/>
    <s v="INR"/>
    <n v="54238"/>
    <s v="IN"/>
    <n v="50"/>
    <x v="1"/>
    <x v="0"/>
    <x v="1"/>
    <x v="0"/>
  </r>
  <r>
    <x v="0"/>
    <s v="SE"/>
    <s v="FT"/>
    <x v="4"/>
    <n v="1799997"/>
    <s v="INR"/>
    <n v="24407"/>
    <s v="IN"/>
    <n v="100"/>
    <x v="8"/>
    <x v="0"/>
    <x v="1"/>
    <x v="1"/>
  </r>
  <r>
    <x v="0"/>
    <s v="EN"/>
    <s v="FT"/>
    <x v="19"/>
    <n v="9272"/>
    <s v="USD"/>
    <n v="9272"/>
    <s v="KE"/>
    <n v="100"/>
    <x v="22"/>
    <x v="2"/>
    <x v="0"/>
    <x v="1"/>
  </r>
  <r>
    <x v="0"/>
    <s v="MI"/>
    <s v="FT"/>
    <x v="1"/>
    <n v="147000"/>
    <s v="USD"/>
    <n v="147000"/>
    <s v="US"/>
    <n v="50"/>
    <x v="1"/>
    <x v="0"/>
    <x v="3"/>
    <x v="0"/>
  </r>
  <r>
    <x v="0"/>
    <s v="SE"/>
    <s v="FT"/>
    <x v="6"/>
    <n v="120500"/>
    <s v="CAD"/>
    <n v="96357"/>
    <s v="CA"/>
    <n v="50"/>
    <x v="5"/>
    <x v="0"/>
    <x v="1"/>
    <x v="0"/>
  </r>
  <r>
    <x v="0"/>
    <s v="SE"/>
    <s v="FT"/>
    <x v="34"/>
    <n v="174000"/>
    <s v="USD"/>
    <n v="174000"/>
    <s v="US"/>
    <n v="100"/>
    <x v="1"/>
    <x v="0"/>
    <x v="1"/>
    <x v="1"/>
  </r>
  <r>
    <x v="1"/>
    <s v="MI"/>
    <s v="FT"/>
    <x v="35"/>
    <n v="135000"/>
    <s v="USD"/>
    <n v="135000"/>
    <s v="US"/>
    <n v="100"/>
    <x v="1"/>
    <x v="0"/>
    <x v="3"/>
    <x v="1"/>
  </r>
  <r>
    <x v="0"/>
    <s v="EN"/>
    <s v="FT"/>
    <x v="4"/>
    <n v="21844"/>
    <s v="USD"/>
    <n v="21844"/>
    <s v="CO"/>
    <n v="50"/>
    <x v="23"/>
    <x v="1"/>
    <x v="0"/>
    <x v="0"/>
  </r>
  <r>
    <x v="1"/>
    <s v="SE"/>
    <s v="FT"/>
    <x v="23"/>
    <n v="125000"/>
    <s v="USD"/>
    <n v="125000"/>
    <s v="NZ"/>
    <n v="50"/>
    <x v="24"/>
    <x v="2"/>
    <x v="1"/>
    <x v="0"/>
  </r>
  <r>
    <x v="1"/>
    <s v="EN"/>
    <s v="FT"/>
    <x v="1"/>
    <n v="45000"/>
    <s v="EUR"/>
    <n v="51321"/>
    <s v="FR"/>
    <n v="0"/>
    <x v="3"/>
    <x v="2"/>
    <x v="0"/>
    <x v="2"/>
  </r>
  <r>
    <x v="1"/>
    <s v="MI"/>
    <s v="FT"/>
    <x v="1"/>
    <n v="3000000"/>
    <s v="INR"/>
    <n v="40481"/>
    <s v="IN"/>
    <n v="0"/>
    <x v="8"/>
    <x v="0"/>
    <x v="3"/>
    <x v="2"/>
  </r>
  <r>
    <x v="0"/>
    <s v="EX"/>
    <s v="FT"/>
    <x v="0"/>
    <n v="59000"/>
    <s v="EUR"/>
    <n v="70329"/>
    <s v="FR"/>
    <n v="100"/>
    <x v="9"/>
    <x v="2"/>
    <x v="2"/>
    <x v="1"/>
  </r>
  <r>
    <x v="0"/>
    <s v="SE"/>
    <s v="FT"/>
    <x v="17"/>
    <n v="50000"/>
    <s v="USD"/>
    <n v="50000"/>
    <s v="VN"/>
    <n v="100"/>
    <x v="11"/>
    <x v="1"/>
    <x v="1"/>
    <x v="1"/>
  </r>
  <r>
    <x v="0"/>
    <s v="MI"/>
    <s v="FT"/>
    <x v="8"/>
    <n v="4000"/>
    <s v="USD"/>
    <n v="4000"/>
    <s v="IR"/>
    <n v="100"/>
    <x v="25"/>
    <x v="1"/>
    <x v="3"/>
    <x v="1"/>
  </r>
  <r>
    <x v="1"/>
    <s v="EN"/>
    <s v="FT"/>
    <x v="1"/>
    <n v="35000"/>
    <s v="EUR"/>
    <n v="39916"/>
    <s v="FR"/>
    <n v="0"/>
    <x v="3"/>
    <x v="1"/>
    <x v="0"/>
    <x v="2"/>
  </r>
  <r>
    <x v="1"/>
    <s v="MI"/>
    <s v="FT"/>
    <x v="18"/>
    <n v="87000"/>
    <s v="USD"/>
    <n v="87000"/>
    <s v="US"/>
    <n v="100"/>
    <x v="1"/>
    <x v="0"/>
    <x v="3"/>
    <x v="1"/>
  </r>
  <r>
    <x v="0"/>
    <s v="MI"/>
    <s v="FT"/>
    <x v="8"/>
    <n v="22000"/>
    <s v="EUR"/>
    <n v="26224"/>
    <s v="RO"/>
    <n v="0"/>
    <x v="1"/>
    <x v="0"/>
    <x v="3"/>
    <x v="2"/>
  </r>
  <r>
    <x v="0"/>
    <s v="MI"/>
    <s v="FT"/>
    <x v="1"/>
    <n v="76760"/>
    <s v="EUR"/>
    <n v="91500"/>
    <s v="DE"/>
    <n v="50"/>
    <x v="0"/>
    <x v="0"/>
    <x v="3"/>
    <x v="0"/>
  </r>
  <r>
    <x v="0"/>
    <s v="MI"/>
    <s v="FT"/>
    <x v="32"/>
    <n v="1672000"/>
    <s v="INR"/>
    <n v="22671"/>
    <s v="IN"/>
    <n v="0"/>
    <x v="8"/>
    <x v="0"/>
    <x v="3"/>
    <x v="2"/>
  </r>
  <r>
    <x v="0"/>
    <s v="MI"/>
    <s v="FT"/>
    <x v="1"/>
    <n v="420000"/>
    <s v="INR"/>
    <n v="5695"/>
    <s v="IN"/>
    <n v="100"/>
    <x v="1"/>
    <x v="2"/>
    <x v="3"/>
    <x v="1"/>
  </r>
  <r>
    <x v="0"/>
    <s v="EN"/>
    <s v="FT"/>
    <x v="4"/>
    <n v="81000"/>
    <s v="USD"/>
    <n v="81000"/>
    <s v="US"/>
    <n v="50"/>
    <x v="1"/>
    <x v="2"/>
    <x v="0"/>
    <x v="0"/>
  </r>
  <r>
    <x v="0"/>
    <s v="MI"/>
    <s v="FT"/>
    <x v="1"/>
    <n v="30400000"/>
    <s v="CLP"/>
    <n v="40798"/>
    <s v="CL"/>
    <n v="100"/>
    <x v="26"/>
    <x v="0"/>
    <x v="3"/>
    <x v="1"/>
  </r>
  <r>
    <x v="0"/>
    <s v="MI"/>
    <s v="FT"/>
    <x v="1"/>
    <n v="58000"/>
    <s v="MXN"/>
    <n v="2876"/>
    <s v="MX"/>
    <n v="0"/>
    <x v="15"/>
    <x v="2"/>
    <x v="3"/>
    <x v="2"/>
  </r>
  <r>
    <x v="0"/>
    <s v="EN"/>
    <s v="FT"/>
    <x v="0"/>
    <n v="90000"/>
    <s v="USD"/>
    <n v="90000"/>
    <s v="US"/>
    <n v="100"/>
    <x v="1"/>
    <x v="2"/>
    <x v="0"/>
    <x v="1"/>
  </r>
  <r>
    <x v="0"/>
    <s v="MI"/>
    <s v="FT"/>
    <x v="1"/>
    <n v="52000"/>
    <s v="EUR"/>
    <n v="61985"/>
    <s v="DE"/>
    <n v="50"/>
    <x v="4"/>
    <x v="1"/>
    <x v="3"/>
    <x v="0"/>
  </r>
  <r>
    <x v="0"/>
    <s v="SE"/>
    <s v="FT"/>
    <x v="21"/>
    <n v="195000"/>
    <s v="USD"/>
    <n v="195000"/>
    <s v="US"/>
    <n v="100"/>
    <x v="1"/>
    <x v="1"/>
    <x v="1"/>
    <x v="1"/>
  </r>
  <r>
    <x v="0"/>
    <s v="MI"/>
    <s v="FT"/>
    <x v="1"/>
    <n v="32000"/>
    <s v="EUR"/>
    <n v="38144"/>
    <s v="ES"/>
    <n v="100"/>
    <x v="9"/>
    <x v="0"/>
    <x v="3"/>
    <x v="1"/>
  </r>
  <r>
    <x v="1"/>
    <s v="MI"/>
    <s v="FT"/>
    <x v="7"/>
    <n v="85000"/>
    <s v="USD"/>
    <n v="85000"/>
    <s v="US"/>
    <n v="100"/>
    <x v="1"/>
    <x v="0"/>
    <x v="3"/>
    <x v="1"/>
  </r>
  <r>
    <x v="0"/>
    <s v="EX"/>
    <s v="CT"/>
    <x v="36"/>
    <n v="416000"/>
    <s v="USD"/>
    <n v="416000"/>
    <s v="US"/>
    <n v="100"/>
    <x v="1"/>
    <x v="2"/>
    <x v="2"/>
    <x v="1"/>
  </r>
  <r>
    <x v="0"/>
    <s v="SE"/>
    <s v="FT"/>
    <x v="20"/>
    <n v="225000"/>
    <s v="USD"/>
    <n v="225000"/>
    <s v="US"/>
    <n v="100"/>
    <x v="5"/>
    <x v="0"/>
    <x v="1"/>
    <x v="1"/>
  </r>
  <r>
    <x v="0"/>
    <s v="MI"/>
    <s v="FT"/>
    <x v="1"/>
    <n v="40900"/>
    <s v="GBP"/>
    <n v="56578"/>
    <s v="GB"/>
    <n v="50"/>
    <x v="11"/>
    <x v="0"/>
    <x v="3"/>
    <x v="0"/>
  </r>
  <r>
    <x v="0"/>
    <s v="MI"/>
    <s v="FT"/>
    <x v="1"/>
    <n v="2500000"/>
    <s v="INR"/>
    <n v="33899"/>
    <s v="IN"/>
    <n v="0"/>
    <x v="8"/>
    <x v="1"/>
    <x v="3"/>
    <x v="2"/>
  </r>
  <r>
    <x v="0"/>
    <s v="MI"/>
    <s v="FT"/>
    <x v="1"/>
    <n v="85000"/>
    <s v="GBP"/>
    <n v="117583"/>
    <s v="GB"/>
    <n v="50"/>
    <x v="11"/>
    <x v="0"/>
    <x v="3"/>
    <x v="0"/>
  </r>
  <r>
    <x v="0"/>
    <s v="MI"/>
    <s v="FT"/>
    <x v="4"/>
    <n v="180000"/>
    <s v="PLN"/>
    <n v="47129"/>
    <s v="PL"/>
    <n v="100"/>
    <x v="10"/>
    <x v="0"/>
    <x v="3"/>
    <x v="1"/>
  </r>
  <r>
    <x v="1"/>
    <s v="MI"/>
    <s v="FT"/>
    <x v="7"/>
    <n v="8000"/>
    <s v="USD"/>
    <n v="8000"/>
    <s v="PK"/>
    <n v="50"/>
    <x v="27"/>
    <x v="0"/>
    <x v="3"/>
    <x v="0"/>
  </r>
  <r>
    <x v="1"/>
    <s v="EN"/>
    <s v="FT"/>
    <x v="8"/>
    <n v="4450000"/>
    <s v="JPY"/>
    <n v="41689"/>
    <s v="JP"/>
    <n v="100"/>
    <x v="19"/>
    <x v="2"/>
    <x v="0"/>
    <x v="1"/>
  </r>
  <r>
    <x v="1"/>
    <s v="SE"/>
    <s v="FT"/>
    <x v="32"/>
    <n v="100000"/>
    <s v="EUR"/>
    <n v="114047"/>
    <s v="PL"/>
    <n v="100"/>
    <x v="11"/>
    <x v="2"/>
    <x v="1"/>
    <x v="1"/>
  </r>
  <r>
    <x v="0"/>
    <s v="MI"/>
    <s v="FT"/>
    <x v="4"/>
    <n v="75000"/>
    <s v="EUR"/>
    <n v="89402"/>
    <s v="BE"/>
    <n v="100"/>
    <x v="28"/>
    <x v="1"/>
    <x v="3"/>
    <x v="1"/>
  </r>
  <r>
    <x v="1"/>
    <s v="EN"/>
    <s v="FT"/>
    <x v="0"/>
    <n v="423000"/>
    <s v="INR"/>
    <n v="5707"/>
    <s v="IN"/>
    <n v="50"/>
    <x v="8"/>
    <x v="1"/>
    <x v="0"/>
    <x v="0"/>
  </r>
  <r>
    <x v="1"/>
    <s v="MI"/>
    <s v="FT"/>
    <x v="23"/>
    <n v="56000"/>
    <s v="USD"/>
    <n v="56000"/>
    <s v="PT"/>
    <n v="100"/>
    <x v="1"/>
    <x v="1"/>
    <x v="3"/>
    <x v="1"/>
  </r>
  <r>
    <x v="0"/>
    <s v="EN"/>
    <s v="PT"/>
    <x v="37"/>
    <n v="180000"/>
    <s v="DKK"/>
    <n v="28850"/>
    <s v="DK"/>
    <n v="50"/>
    <x v="13"/>
    <x v="2"/>
    <x v="0"/>
    <x v="0"/>
  </r>
  <r>
    <x v="0"/>
    <s v="MI"/>
    <s v="FT"/>
    <x v="1"/>
    <n v="75000"/>
    <s v="EUR"/>
    <n v="89402"/>
    <s v="DE"/>
    <n v="50"/>
    <x v="0"/>
    <x v="0"/>
    <x v="3"/>
    <x v="0"/>
  </r>
  <r>
    <x v="1"/>
    <s v="MI"/>
    <s v="FT"/>
    <x v="4"/>
    <n v="299000"/>
    <s v="CNY"/>
    <n v="43331"/>
    <s v="CN"/>
    <n v="0"/>
    <x v="20"/>
    <x v="1"/>
    <x v="3"/>
    <x v="2"/>
  </r>
  <r>
    <x v="1"/>
    <s v="MI"/>
    <s v="FT"/>
    <x v="38"/>
    <n v="450000"/>
    <s v="INR"/>
    <n v="6072"/>
    <s v="IN"/>
    <n v="100"/>
    <x v="8"/>
    <x v="0"/>
    <x v="3"/>
    <x v="1"/>
  </r>
  <r>
    <x v="1"/>
    <s v="SE"/>
    <s v="FT"/>
    <x v="8"/>
    <n v="42000"/>
    <s v="EUR"/>
    <n v="47899"/>
    <s v="GR"/>
    <n v="50"/>
    <x v="29"/>
    <x v="0"/>
    <x v="1"/>
    <x v="0"/>
  </r>
  <r>
    <x v="1"/>
    <s v="MI"/>
    <s v="FT"/>
    <x v="19"/>
    <n v="98000"/>
    <s v="USD"/>
    <n v="98000"/>
    <s v="US"/>
    <n v="0"/>
    <x v="1"/>
    <x v="1"/>
    <x v="3"/>
    <x v="2"/>
  </r>
  <r>
    <x v="0"/>
    <s v="MI"/>
    <s v="FT"/>
    <x v="8"/>
    <n v="48000"/>
    <s v="GBP"/>
    <n v="66400"/>
    <s v="HK"/>
    <n v="50"/>
    <x v="11"/>
    <x v="2"/>
    <x v="3"/>
    <x v="0"/>
  </r>
  <r>
    <x v="0"/>
    <s v="MI"/>
    <s v="FT"/>
    <x v="6"/>
    <n v="48000"/>
    <s v="EUR"/>
    <n v="57217"/>
    <s v="FR"/>
    <n v="50"/>
    <x v="3"/>
    <x v="2"/>
    <x v="3"/>
    <x v="0"/>
  </r>
  <r>
    <x v="0"/>
    <s v="MI"/>
    <s v="FT"/>
    <x v="4"/>
    <n v="21000"/>
    <s v="EUR"/>
    <n v="25032"/>
    <s v="SI"/>
    <n v="50"/>
    <x v="30"/>
    <x v="0"/>
    <x v="3"/>
    <x v="0"/>
  </r>
  <r>
    <x v="0"/>
    <s v="SE"/>
    <s v="FT"/>
    <x v="5"/>
    <n v="120000"/>
    <s v="USD"/>
    <n v="120000"/>
    <s v="US"/>
    <n v="0"/>
    <x v="1"/>
    <x v="0"/>
    <x v="1"/>
    <x v="2"/>
  </r>
  <r>
    <x v="0"/>
    <s v="MI"/>
    <s v="FL"/>
    <x v="8"/>
    <n v="20000"/>
    <s v="USD"/>
    <n v="20000"/>
    <s v="IT"/>
    <n v="0"/>
    <x v="1"/>
    <x v="0"/>
    <x v="3"/>
    <x v="2"/>
  </r>
  <r>
    <x v="1"/>
    <s v="EX"/>
    <s v="FT"/>
    <x v="16"/>
    <n v="325000"/>
    <s v="USD"/>
    <n v="325000"/>
    <s v="US"/>
    <n v="100"/>
    <x v="1"/>
    <x v="0"/>
    <x v="2"/>
    <x v="1"/>
  </r>
  <r>
    <x v="0"/>
    <s v="SE"/>
    <s v="FT"/>
    <x v="4"/>
    <n v="200000"/>
    <s v="USD"/>
    <n v="200000"/>
    <s v="US"/>
    <n v="100"/>
    <x v="1"/>
    <x v="0"/>
    <x v="1"/>
    <x v="1"/>
  </r>
  <r>
    <x v="1"/>
    <s v="EN"/>
    <s v="FT"/>
    <x v="12"/>
    <n v="300000"/>
    <s v="DKK"/>
    <n v="45896"/>
    <s v="DK"/>
    <n v="50"/>
    <x v="13"/>
    <x v="2"/>
    <x v="0"/>
    <x v="0"/>
  </r>
  <r>
    <x v="0"/>
    <s v="MI"/>
    <s v="FT"/>
    <x v="1"/>
    <n v="160000"/>
    <s v="USD"/>
    <n v="160000"/>
    <s v="US"/>
    <n v="100"/>
    <x v="1"/>
    <x v="0"/>
    <x v="3"/>
    <x v="1"/>
  </r>
  <r>
    <x v="0"/>
    <s v="SE"/>
    <s v="FT"/>
    <x v="6"/>
    <n v="50000"/>
    <s v="USD"/>
    <n v="50000"/>
    <s v="FR"/>
    <n v="100"/>
    <x v="1"/>
    <x v="2"/>
    <x v="1"/>
    <x v="1"/>
  </r>
  <r>
    <x v="0"/>
    <s v="MI"/>
    <s v="FT"/>
    <x v="9"/>
    <n v="34000"/>
    <s v="EUR"/>
    <n v="40529"/>
    <s v="GR"/>
    <n v="100"/>
    <x v="29"/>
    <x v="1"/>
    <x v="3"/>
    <x v="1"/>
  </r>
  <r>
    <x v="0"/>
    <s v="EX"/>
    <s v="FT"/>
    <x v="39"/>
    <n v="600000"/>
    <s v="USD"/>
    <n v="600000"/>
    <s v="US"/>
    <n v="100"/>
    <x v="1"/>
    <x v="0"/>
    <x v="2"/>
    <x v="1"/>
  </r>
  <r>
    <x v="0"/>
    <s v="MI"/>
    <s v="FT"/>
    <x v="1"/>
    <n v="69600"/>
    <s v="BRL"/>
    <n v="13000"/>
    <s v="BR"/>
    <n v="0"/>
    <x v="31"/>
    <x v="2"/>
    <x v="3"/>
    <x v="2"/>
  </r>
  <r>
    <x v="0"/>
    <s v="SE"/>
    <s v="FT"/>
    <x v="8"/>
    <n v="165000"/>
    <s v="USD"/>
    <n v="165000"/>
    <s v="US"/>
    <n v="0"/>
    <x v="1"/>
    <x v="1"/>
    <x v="1"/>
    <x v="2"/>
  </r>
  <r>
    <x v="0"/>
    <s v="EN"/>
    <s v="FT"/>
    <x v="32"/>
    <n v="435000"/>
    <s v="INR"/>
    <n v="5898"/>
    <s v="IN"/>
    <n v="0"/>
    <x v="32"/>
    <x v="0"/>
    <x v="0"/>
    <x v="2"/>
  </r>
  <r>
    <x v="1"/>
    <s v="MI"/>
    <s v="FT"/>
    <x v="1"/>
    <n v="37000"/>
    <s v="EUR"/>
    <n v="42197"/>
    <s v="FR"/>
    <n v="50"/>
    <x v="3"/>
    <x v="2"/>
    <x v="3"/>
    <x v="0"/>
  </r>
  <r>
    <x v="0"/>
    <s v="SE"/>
    <s v="FT"/>
    <x v="39"/>
    <n v="185000"/>
    <s v="USD"/>
    <n v="185000"/>
    <s v="US"/>
    <n v="100"/>
    <x v="1"/>
    <x v="0"/>
    <x v="1"/>
    <x v="1"/>
  </r>
  <r>
    <x v="1"/>
    <s v="EN"/>
    <s v="FT"/>
    <x v="1"/>
    <n v="55000"/>
    <s v="EUR"/>
    <n v="62726"/>
    <s v="DE"/>
    <n v="50"/>
    <x v="0"/>
    <x v="2"/>
    <x v="0"/>
    <x v="0"/>
  </r>
  <r>
    <x v="1"/>
    <s v="EN"/>
    <s v="PT"/>
    <x v="1"/>
    <n v="19000"/>
    <s v="EUR"/>
    <n v="21669"/>
    <s v="IT"/>
    <n v="50"/>
    <x v="33"/>
    <x v="2"/>
    <x v="0"/>
    <x v="0"/>
  </r>
  <r>
    <x v="1"/>
    <s v="MI"/>
    <s v="FT"/>
    <x v="8"/>
    <n v="110000"/>
    <s v="USD"/>
    <n v="110000"/>
    <s v="US"/>
    <n v="100"/>
    <x v="1"/>
    <x v="0"/>
    <x v="3"/>
    <x v="1"/>
  </r>
  <r>
    <x v="0"/>
    <s v="SE"/>
    <s v="FT"/>
    <x v="5"/>
    <n v="140000"/>
    <s v="USD"/>
    <n v="140000"/>
    <s v="US"/>
    <n v="100"/>
    <x v="1"/>
    <x v="0"/>
    <x v="1"/>
    <x v="1"/>
  </r>
  <r>
    <x v="1"/>
    <s v="SE"/>
    <s v="FT"/>
    <x v="1"/>
    <n v="120000"/>
    <s v="USD"/>
    <n v="120000"/>
    <s v="US"/>
    <n v="50"/>
    <x v="1"/>
    <x v="0"/>
    <x v="1"/>
    <x v="0"/>
  </r>
  <r>
    <x v="0"/>
    <s v="SE"/>
    <s v="FT"/>
    <x v="1"/>
    <n v="110000"/>
    <s v="CAD"/>
    <n v="87961"/>
    <s v="CA"/>
    <n v="100"/>
    <x v="5"/>
    <x v="2"/>
    <x v="1"/>
    <x v="1"/>
  </r>
  <r>
    <x v="0"/>
    <s v="SE"/>
    <s v="FT"/>
    <x v="40"/>
    <n v="45000"/>
    <s v="GBP"/>
    <n v="62250"/>
    <s v="GB"/>
    <n v="50"/>
    <x v="11"/>
    <x v="0"/>
    <x v="1"/>
    <x v="0"/>
  </r>
  <r>
    <x v="0"/>
    <s v="MI"/>
    <s v="FL"/>
    <x v="20"/>
    <n v="12000"/>
    <s v="USD"/>
    <n v="12000"/>
    <s v="PK"/>
    <n v="50"/>
    <x v="27"/>
    <x v="1"/>
    <x v="3"/>
    <x v="0"/>
  </r>
  <r>
    <x v="0"/>
    <s v="SE"/>
    <s v="FT"/>
    <x v="8"/>
    <n v="65000"/>
    <s v="EUR"/>
    <n v="77481"/>
    <s v="RO"/>
    <n v="50"/>
    <x v="11"/>
    <x v="2"/>
    <x v="1"/>
    <x v="0"/>
  </r>
  <r>
    <x v="0"/>
    <s v="MI"/>
    <s v="FT"/>
    <x v="4"/>
    <n v="74000"/>
    <s v="USD"/>
    <n v="74000"/>
    <s v="JP"/>
    <n v="50"/>
    <x v="19"/>
    <x v="2"/>
    <x v="3"/>
    <x v="0"/>
  </r>
  <r>
    <x v="0"/>
    <s v="SE"/>
    <s v="FT"/>
    <x v="34"/>
    <n v="152000"/>
    <s v="USD"/>
    <n v="152000"/>
    <s v="US"/>
    <n v="100"/>
    <x v="3"/>
    <x v="0"/>
    <x v="1"/>
    <x v="1"/>
  </r>
  <r>
    <x v="0"/>
    <s v="MI"/>
    <s v="FT"/>
    <x v="32"/>
    <n v="18000"/>
    <s v="USD"/>
    <n v="18000"/>
    <s v="MD"/>
    <n v="0"/>
    <x v="34"/>
    <x v="2"/>
    <x v="3"/>
    <x v="2"/>
  </r>
  <r>
    <x v="1"/>
    <s v="SE"/>
    <s v="FL"/>
    <x v="37"/>
    <n v="60000"/>
    <s v="USD"/>
    <n v="60000"/>
    <s v="RU"/>
    <n v="100"/>
    <x v="1"/>
    <x v="2"/>
    <x v="1"/>
    <x v="1"/>
  </r>
  <r>
    <x v="0"/>
    <s v="MI"/>
    <s v="FT"/>
    <x v="1"/>
    <n v="130000"/>
    <s v="USD"/>
    <n v="130000"/>
    <s v="US"/>
    <n v="50"/>
    <x v="1"/>
    <x v="0"/>
    <x v="3"/>
    <x v="0"/>
  </r>
  <r>
    <x v="0"/>
    <s v="SE"/>
    <s v="FT"/>
    <x v="37"/>
    <n v="102000"/>
    <s v="BRL"/>
    <n v="19052"/>
    <s v="BR"/>
    <n v="0"/>
    <x v="31"/>
    <x v="1"/>
    <x v="1"/>
    <x v="2"/>
  </r>
  <r>
    <x v="0"/>
    <s v="EN"/>
    <s v="FT"/>
    <x v="35"/>
    <n v="50000"/>
    <s v="EUR"/>
    <n v="59601"/>
    <s v="LU"/>
    <n v="100"/>
    <x v="35"/>
    <x v="0"/>
    <x v="0"/>
    <x v="1"/>
  </r>
  <r>
    <x v="0"/>
    <s v="SE"/>
    <s v="FT"/>
    <x v="36"/>
    <n v="147000"/>
    <s v="EUR"/>
    <n v="175228"/>
    <s v="DE"/>
    <n v="100"/>
    <x v="0"/>
    <x v="1"/>
    <x v="1"/>
    <x v="1"/>
  </r>
  <r>
    <x v="1"/>
    <s v="SE"/>
    <s v="FT"/>
    <x v="36"/>
    <n v="130000"/>
    <s v="EUR"/>
    <n v="148261"/>
    <s v="DE"/>
    <n v="100"/>
    <x v="0"/>
    <x v="1"/>
    <x v="1"/>
    <x v="1"/>
  </r>
  <r>
    <x v="1"/>
    <s v="MI"/>
    <s v="FT"/>
    <x v="1"/>
    <n v="34000"/>
    <s v="EUR"/>
    <n v="38776"/>
    <s v="ES"/>
    <n v="100"/>
    <x v="9"/>
    <x v="1"/>
    <x v="3"/>
    <x v="1"/>
  </r>
  <r>
    <x v="0"/>
    <s v="MI"/>
    <s v="FT"/>
    <x v="1"/>
    <n v="39600"/>
    <s v="EUR"/>
    <n v="47204"/>
    <s v="ES"/>
    <n v="100"/>
    <x v="9"/>
    <x v="1"/>
    <x v="3"/>
    <x v="1"/>
  </r>
  <r>
    <x v="0"/>
    <s v="EN"/>
    <s v="FT"/>
    <x v="1"/>
    <n v="4000"/>
    <s v="USD"/>
    <n v="4000"/>
    <s v="VN"/>
    <n v="0"/>
    <x v="36"/>
    <x v="1"/>
    <x v="0"/>
    <x v="2"/>
  </r>
  <r>
    <x v="0"/>
    <s v="EN"/>
    <s v="FT"/>
    <x v="12"/>
    <n v="1335000"/>
    <s v="INR"/>
    <n v="18102"/>
    <s v="IN"/>
    <n v="100"/>
    <x v="37"/>
    <x v="2"/>
    <x v="0"/>
    <x v="1"/>
  </r>
  <r>
    <x v="1"/>
    <s v="SE"/>
    <s v="FT"/>
    <x v="1"/>
    <n v="80000"/>
    <s v="EUR"/>
    <n v="91237"/>
    <s v="AT"/>
    <n v="0"/>
    <x v="4"/>
    <x v="2"/>
    <x v="1"/>
    <x v="2"/>
  </r>
  <r>
    <x v="1"/>
    <s v="MI"/>
    <s v="FT"/>
    <x v="1"/>
    <n v="55000"/>
    <s v="EUR"/>
    <n v="62726"/>
    <s v="FR"/>
    <n v="50"/>
    <x v="35"/>
    <x v="2"/>
    <x v="3"/>
    <x v="0"/>
  </r>
  <r>
    <x v="0"/>
    <s v="MI"/>
    <s v="FT"/>
    <x v="1"/>
    <n v="115000"/>
    <s v="USD"/>
    <n v="115000"/>
    <s v="US"/>
    <n v="50"/>
    <x v="1"/>
    <x v="0"/>
    <x v="3"/>
    <x v="0"/>
  </r>
  <r>
    <x v="0"/>
    <s v="SE"/>
    <s v="FT"/>
    <x v="36"/>
    <n v="235000"/>
    <s v="USD"/>
    <n v="235000"/>
    <s v="US"/>
    <n v="100"/>
    <x v="1"/>
    <x v="0"/>
    <x v="1"/>
    <x v="1"/>
  </r>
  <r>
    <x v="0"/>
    <s v="MI"/>
    <s v="FT"/>
    <x v="18"/>
    <n v="1450000"/>
    <s v="INR"/>
    <n v="19661"/>
    <s v="IN"/>
    <n v="100"/>
    <x v="8"/>
    <x v="0"/>
    <x v="3"/>
    <x v="1"/>
  </r>
  <r>
    <x v="0"/>
    <s v="EN"/>
    <s v="PT"/>
    <x v="12"/>
    <n v="12000"/>
    <s v="USD"/>
    <n v="12000"/>
    <s v="BR"/>
    <n v="100"/>
    <x v="1"/>
    <x v="2"/>
    <x v="0"/>
    <x v="1"/>
  </r>
  <r>
    <x v="0"/>
    <s v="MI"/>
    <s v="FT"/>
    <x v="7"/>
    <n v="75000"/>
    <s v="USD"/>
    <n v="75000"/>
    <s v="US"/>
    <n v="0"/>
    <x v="1"/>
    <x v="0"/>
    <x v="3"/>
    <x v="2"/>
  </r>
  <r>
    <x v="0"/>
    <s v="MI"/>
    <s v="FT"/>
    <x v="7"/>
    <n v="62000"/>
    <s v="USD"/>
    <n v="62000"/>
    <s v="US"/>
    <n v="0"/>
    <x v="1"/>
    <x v="0"/>
    <x v="3"/>
    <x v="2"/>
  </r>
  <r>
    <x v="0"/>
    <s v="MI"/>
    <s v="FT"/>
    <x v="1"/>
    <n v="73000"/>
    <s v="USD"/>
    <n v="73000"/>
    <s v="US"/>
    <n v="0"/>
    <x v="1"/>
    <x v="0"/>
    <x v="3"/>
    <x v="2"/>
  </r>
  <r>
    <x v="0"/>
    <s v="MI"/>
    <s v="FT"/>
    <x v="8"/>
    <n v="38400"/>
    <s v="EUR"/>
    <n v="45773"/>
    <s v="NL"/>
    <n v="100"/>
    <x v="17"/>
    <x v="0"/>
    <x v="3"/>
    <x v="1"/>
  </r>
  <r>
    <x v="1"/>
    <s v="SE"/>
    <s v="FT"/>
    <x v="34"/>
    <n v="190200"/>
    <s v="USD"/>
    <n v="190200"/>
    <s v="US"/>
    <n v="100"/>
    <x v="1"/>
    <x v="1"/>
    <x v="1"/>
    <x v="1"/>
  </r>
  <r>
    <x v="1"/>
    <s v="MI"/>
    <s v="FT"/>
    <x v="1"/>
    <n v="118000"/>
    <s v="USD"/>
    <n v="118000"/>
    <s v="US"/>
    <n v="100"/>
    <x v="1"/>
    <x v="1"/>
    <x v="3"/>
    <x v="1"/>
  </r>
  <r>
    <x v="1"/>
    <s v="MI"/>
    <s v="FT"/>
    <x v="1"/>
    <n v="138350"/>
    <s v="USD"/>
    <n v="138350"/>
    <s v="US"/>
    <n v="100"/>
    <x v="1"/>
    <x v="1"/>
    <x v="3"/>
    <x v="1"/>
  </r>
  <r>
    <x v="1"/>
    <s v="MI"/>
    <s v="FT"/>
    <x v="8"/>
    <n v="130800"/>
    <s v="USD"/>
    <n v="130800"/>
    <s v="ES"/>
    <n v="100"/>
    <x v="1"/>
    <x v="1"/>
    <x v="3"/>
    <x v="1"/>
  </r>
  <r>
    <x v="1"/>
    <s v="SE"/>
    <s v="FT"/>
    <x v="4"/>
    <n v="40000"/>
    <s v="EUR"/>
    <n v="45618"/>
    <s v="HR"/>
    <n v="100"/>
    <x v="38"/>
    <x v="2"/>
    <x v="1"/>
    <x v="1"/>
  </r>
  <r>
    <x v="0"/>
    <s v="SE"/>
    <s v="FT"/>
    <x v="16"/>
    <n v="168000"/>
    <s v="USD"/>
    <n v="168000"/>
    <s v="JP"/>
    <n v="0"/>
    <x v="19"/>
    <x v="2"/>
    <x v="1"/>
    <x v="2"/>
  </r>
  <r>
    <x v="0"/>
    <s v="MI"/>
    <s v="FT"/>
    <x v="1"/>
    <n v="160000"/>
    <s v="SGD"/>
    <n v="119353"/>
    <s v="SG"/>
    <n v="100"/>
    <x v="39"/>
    <x v="1"/>
    <x v="3"/>
    <x v="1"/>
  </r>
  <r>
    <x v="0"/>
    <s v="MI"/>
    <s v="FT"/>
    <x v="41"/>
    <n v="423000"/>
    <s v="USD"/>
    <n v="423000"/>
    <s v="US"/>
    <n v="50"/>
    <x v="1"/>
    <x v="0"/>
    <x v="3"/>
    <x v="0"/>
  </r>
  <r>
    <x v="0"/>
    <s v="MI"/>
    <s v="FT"/>
    <x v="8"/>
    <n v="24000"/>
    <s v="EUR"/>
    <n v="28608"/>
    <s v="MT"/>
    <n v="50"/>
    <x v="40"/>
    <x v="0"/>
    <x v="3"/>
    <x v="0"/>
  </r>
  <r>
    <x v="0"/>
    <s v="SE"/>
    <s v="FT"/>
    <x v="42"/>
    <n v="165000"/>
    <s v="USD"/>
    <n v="165000"/>
    <s v="US"/>
    <n v="100"/>
    <x v="1"/>
    <x v="0"/>
    <x v="1"/>
    <x v="1"/>
  </r>
  <r>
    <x v="1"/>
    <s v="SE"/>
    <s v="FT"/>
    <x v="1"/>
    <n v="412000"/>
    <s v="USD"/>
    <n v="412000"/>
    <s v="US"/>
    <n v="100"/>
    <x v="1"/>
    <x v="0"/>
    <x v="1"/>
    <x v="1"/>
  </r>
  <r>
    <x v="0"/>
    <s v="MI"/>
    <s v="FT"/>
    <x v="36"/>
    <n v="151000"/>
    <s v="USD"/>
    <n v="151000"/>
    <s v="US"/>
    <n v="100"/>
    <x v="1"/>
    <x v="0"/>
    <x v="3"/>
    <x v="1"/>
  </r>
  <r>
    <x v="1"/>
    <s v="EN"/>
    <s v="FT"/>
    <x v="1"/>
    <n v="105000"/>
    <s v="USD"/>
    <n v="105000"/>
    <s v="US"/>
    <n v="100"/>
    <x v="1"/>
    <x v="2"/>
    <x v="0"/>
    <x v="1"/>
  </r>
  <r>
    <x v="1"/>
    <s v="EN"/>
    <s v="CT"/>
    <x v="35"/>
    <n v="100000"/>
    <s v="USD"/>
    <n v="100000"/>
    <s v="US"/>
    <n v="100"/>
    <x v="1"/>
    <x v="0"/>
    <x v="0"/>
    <x v="1"/>
  </r>
  <r>
    <x v="0"/>
    <s v="SE"/>
    <s v="FT"/>
    <x v="34"/>
    <n v="7000000"/>
    <s v="INR"/>
    <n v="94917"/>
    <s v="IN"/>
    <n v="50"/>
    <x v="8"/>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261270-CF90-334F-9467-D48F865B87DA}" name="PivotTable14"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13" firstHeaderRow="1" firstDataRow="1" firstDataCol="1"/>
  <pivotFields count="14">
    <pivotField showAll="0">
      <items count="3">
        <item x="1"/>
        <item x="0"/>
        <item t="default"/>
      </items>
    </pivotField>
    <pivotField showAll="0"/>
    <pivotField showAll="0"/>
    <pivotField axis="axisRow" showAll="0" measureFilter="1">
      <items count="44">
        <item x="13"/>
        <item x="12"/>
        <item x="15"/>
        <item x="41"/>
        <item x="19"/>
        <item x="29"/>
        <item x="32"/>
        <item x="35"/>
        <item x="27"/>
        <item x="37"/>
        <item x="25"/>
        <item x="7"/>
        <item x="17"/>
        <item x="5"/>
        <item x="31"/>
        <item x="8"/>
        <item x="11"/>
        <item x="0"/>
        <item x="9"/>
        <item x="34"/>
        <item x="1"/>
        <item x="42"/>
        <item x="24"/>
        <item x="16"/>
        <item x="40"/>
        <item x="26"/>
        <item x="3"/>
        <item x="2"/>
        <item x="18"/>
        <item x="23"/>
        <item x="30"/>
        <item x="4"/>
        <item x="21"/>
        <item x="20"/>
        <item x="10"/>
        <item x="22"/>
        <item x="14"/>
        <item x="28"/>
        <item x="39"/>
        <item x="36"/>
        <item x="38"/>
        <item x="6"/>
        <item x="33"/>
        <item t="default"/>
      </items>
    </pivotField>
    <pivotField showAll="0"/>
    <pivotField showAll="0"/>
    <pivotField dataField="1" showAll="0"/>
    <pivotField showAll="0"/>
    <pivotField showAll="0"/>
    <pivotField showAll="0"/>
    <pivotField showAll="0"/>
    <pivotField showAll="0">
      <items count="5">
        <item x="0"/>
        <item x="2"/>
        <item x="3"/>
        <item x="1"/>
        <item t="default"/>
      </items>
    </pivotField>
    <pivotField showAll="0">
      <items count="4">
        <item x="1"/>
        <item x="0"/>
        <item x="2"/>
        <item t="default"/>
      </items>
    </pivotField>
    <pivotField dragToRow="0" dragToCol="0" dragToPage="0" showAll="0" defaultSubtotal="0"/>
  </pivotFields>
  <rowFields count="1">
    <field x="3"/>
  </rowFields>
  <rowItems count="10">
    <i>
      <x v="3"/>
    </i>
    <i>
      <x v="14"/>
    </i>
    <i>
      <x v="23"/>
    </i>
    <i>
      <x v="25"/>
    </i>
    <i>
      <x v="26"/>
    </i>
    <i>
      <x v="33"/>
    </i>
    <i>
      <x v="36"/>
    </i>
    <i>
      <x v="37"/>
    </i>
    <i>
      <x v="38"/>
    </i>
    <i>
      <x v="39"/>
    </i>
  </rowItems>
  <colItems count="1">
    <i/>
  </colItems>
  <dataFields count="1">
    <dataField name="Average of salary_in_usd" fld="6" subtotal="average" baseField="0" baseItem="0"/>
  </dataFields>
  <chartFormats count="2">
    <chartFormat chart="4"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E8BFB4-C507-8B42-8065-7378F1E78B39}" name="PivotTable15"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7" firstHeaderRow="1" firstDataRow="1" firstDataCol="1"/>
  <pivotFields count="14">
    <pivotField showAll="0"/>
    <pivotField showAll="0"/>
    <pivotField showAll="0"/>
    <pivotField showAll="0"/>
    <pivotField showAll="0"/>
    <pivotField showAll="0"/>
    <pivotField dataField="1" showAll="0"/>
    <pivotField showAll="0"/>
    <pivotField showAll="0"/>
    <pivotField showAll="0"/>
    <pivotField showAll="0"/>
    <pivotField axis="axisRow" showAll="0">
      <items count="5">
        <item x="0"/>
        <item x="2"/>
        <item x="3"/>
        <item x="1"/>
        <item t="default"/>
      </items>
    </pivotField>
    <pivotField showAll="0">
      <items count="4">
        <item x="1"/>
        <item x="0"/>
        <item x="2"/>
        <item t="default"/>
      </items>
    </pivotField>
    <pivotField dragToRow="0" dragToCol="0" dragToPage="0" showAll="0" defaultSubtotal="0"/>
  </pivotFields>
  <rowFields count="1">
    <field x="11"/>
  </rowFields>
  <rowItems count="4">
    <i>
      <x/>
    </i>
    <i>
      <x v="1"/>
    </i>
    <i>
      <x v="2"/>
    </i>
    <i>
      <x v="3"/>
    </i>
  </rowItems>
  <colItems count="1">
    <i/>
  </colItems>
  <dataFields count="1">
    <dataField name="Sum of salary_in_usd" fld="6" baseField="0" baseItem="0"/>
  </dataFields>
  <formats count="5">
    <format dxfId="0">
      <pivotArea type="all" dataOnly="0" outline="0" fieldPosition="0"/>
    </format>
    <format dxfId="1">
      <pivotArea outline="0" collapsedLevelsAreSubtotals="1" fieldPosition="0"/>
    </format>
    <format dxfId="2">
      <pivotArea field="11" type="button" dataOnly="0" labelOnly="1" outline="0" axis="axisRow" fieldPosition="0"/>
    </format>
    <format dxfId="3">
      <pivotArea dataOnly="0" labelOnly="1" fieldPosition="0">
        <references count="1">
          <reference field="11" count="0"/>
        </references>
      </pivotArea>
    </format>
    <format dxfId="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5D2C9E-D195-E44A-84ED-AF88DF9BA677}" name="PivotTable1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7" firstHeaderRow="1" firstDataRow="1" firstDataCol="1"/>
  <pivotFields count="14">
    <pivotField showAll="0"/>
    <pivotField showAll="0"/>
    <pivotField showAll="0"/>
    <pivotField dataField="1" showAll="0"/>
    <pivotField showAll="0"/>
    <pivotField showAll="0"/>
    <pivotField showAll="0"/>
    <pivotField showAll="0"/>
    <pivotField showAll="0"/>
    <pivotField axis="axisRow" showAll="0" measureFilter="1">
      <items count="42">
        <item x="18"/>
        <item x="37"/>
        <item x="4"/>
        <item x="28"/>
        <item x="31"/>
        <item x="5"/>
        <item x="32"/>
        <item x="26"/>
        <item x="20"/>
        <item x="23"/>
        <item x="0"/>
        <item x="13"/>
        <item x="9"/>
        <item x="3"/>
        <item x="11"/>
        <item x="29"/>
        <item x="38"/>
        <item x="21"/>
        <item x="39"/>
        <item x="8"/>
        <item x="25"/>
        <item x="33"/>
        <item x="19"/>
        <item x="22"/>
        <item x="35"/>
        <item x="34"/>
        <item x="40"/>
        <item x="15"/>
        <item x="7"/>
        <item x="17"/>
        <item x="24"/>
        <item x="27"/>
        <item x="10"/>
        <item x="12"/>
        <item x="2"/>
        <item x="14"/>
        <item x="30"/>
        <item x="16"/>
        <item x="6"/>
        <item x="1"/>
        <item x="36"/>
        <item t="default"/>
      </items>
    </pivotField>
    <pivotField showAll="0"/>
    <pivotField showAll="0">
      <items count="5">
        <item x="0"/>
        <item x="2"/>
        <item x="3"/>
        <item x="1"/>
        <item t="default"/>
      </items>
    </pivotField>
    <pivotField showAll="0">
      <items count="4">
        <item x="1"/>
        <item x="0"/>
        <item x="2"/>
        <item t="default"/>
      </items>
    </pivotField>
    <pivotField dragToRow="0" dragToCol="0" dragToPage="0" showAll="0" defaultSubtotal="0"/>
  </pivotFields>
  <rowFields count="1">
    <field x="9"/>
  </rowFields>
  <rowItems count="14">
    <i>
      <x v="2"/>
    </i>
    <i>
      <x v="5"/>
    </i>
    <i>
      <x v="10"/>
    </i>
    <i>
      <x v="11"/>
    </i>
    <i>
      <x v="12"/>
    </i>
    <i>
      <x v="13"/>
    </i>
    <i>
      <x v="14"/>
    </i>
    <i>
      <x v="19"/>
    </i>
    <i>
      <x v="22"/>
    </i>
    <i>
      <x v="29"/>
    </i>
    <i>
      <x v="32"/>
    </i>
    <i>
      <x v="37"/>
    </i>
    <i>
      <x v="39"/>
    </i>
    <i t="grand">
      <x/>
    </i>
  </rowItems>
  <colItems count="1">
    <i/>
  </colItems>
  <dataFields count="1">
    <dataField name="Count of job_title" fld="3" subtotal="count" baseField="0"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9A1EC6-2507-AE46-9320-A2E7776E655B}" name="PivotTable1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4">
    <pivotField showAll="0"/>
    <pivotField showAll="0"/>
    <pivotField showAll="0"/>
    <pivotField dataField="1" showAll="0"/>
    <pivotField showAll="0"/>
    <pivotField showAll="0"/>
    <pivotField showAll="0"/>
    <pivotField showAll="0"/>
    <pivotField showAll="0"/>
    <pivotField showAll="0"/>
    <pivotField showAll="0"/>
    <pivotField showAll="0">
      <items count="5">
        <item x="0"/>
        <item x="2"/>
        <item x="3"/>
        <item x="1"/>
        <item t="default"/>
      </items>
    </pivotField>
    <pivotField axis="axisRow" showAll="0">
      <items count="4">
        <item x="1"/>
        <item x="0"/>
        <item x="2"/>
        <item t="default"/>
      </items>
    </pivotField>
    <pivotField dragToRow="0" dragToCol="0" dragToPage="0" showAll="0" defaultSubtotal="0"/>
  </pivotFields>
  <rowFields count="1">
    <field x="12"/>
  </rowFields>
  <rowItems count="4">
    <i>
      <x/>
    </i>
    <i>
      <x v="1"/>
    </i>
    <i>
      <x v="2"/>
    </i>
    <i t="grand">
      <x/>
    </i>
  </rowItems>
  <colItems count="1">
    <i/>
  </colItems>
  <dataFields count="1">
    <dataField name="Count of job_title" fld="3"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2" count="1" selected="0">
            <x v="0"/>
          </reference>
        </references>
      </pivotArea>
    </chartFormat>
    <chartFormat chart="6" format="3">
      <pivotArea type="data" outline="0" fieldPosition="0">
        <references count="2">
          <reference field="4294967294" count="1" selected="0">
            <x v="0"/>
          </reference>
          <reference field="12" count="1" selected="0">
            <x v="1"/>
          </reference>
        </references>
      </pivotArea>
    </chartFormat>
    <chartFormat chart="6" format="4">
      <pivotArea type="data" outline="0" fieldPosition="0">
        <references count="2">
          <reference field="4294967294" count="1" selected="0">
            <x v="0"/>
          </reference>
          <reference field="12"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2" count="1" selected="0">
            <x v="0"/>
          </reference>
        </references>
      </pivotArea>
    </chartFormat>
    <chartFormat chart="7" format="7">
      <pivotArea type="data" outline="0" fieldPosition="0">
        <references count="2">
          <reference field="4294967294" count="1" selected="0">
            <x v="0"/>
          </reference>
          <reference field="12" count="1" selected="0">
            <x v="1"/>
          </reference>
        </references>
      </pivotArea>
    </chartFormat>
    <chartFormat chart="7" format="8">
      <pivotArea type="data" outline="0" fieldPosition="0">
        <references count="2">
          <reference field="4294967294" count="1" selected="0">
            <x v="0"/>
          </reference>
          <reference field="12" count="1" selected="0">
            <x v="2"/>
          </reference>
        </references>
      </pivotArea>
    </chartFormat>
    <chartFormat chart="3" format="1">
      <pivotArea type="data" outline="0" fieldPosition="0">
        <references count="2">
          <reference field="4294967294" count="1" selected="0">
            <x v="0"/>
          </reference>
          <reference field="12" count="1" selected="0">
            <x v="0"/>
          </reference>
        </references>
      </pivotArea>
    </chartFormat>
    <chartFormat chart="3" format="2">
      <pivotArea type="data" outline="0" fieldPosition="0">
        <references count="2">
          <reference field="4294967294" count="1" selected="0">
            <x v="0"/>
          </reference>
          <reference field="12" count="1" selected="0">
            <x v="1"/>
          </reference>
        </references>
      </pivotArea>
    </chartFormat>
    <chartFormat chart="3"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39A51E-240D-304C-A887-8FFF228B0DD2}" name="PivotTable1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4">
    <pivotField showAll="0"/>
    <pivotField showAll="0"/>
    <pivotField showAll="0"/>
    <pivotField showAll="0"/>
    <pivotField showAll="0"/>
    <pivotField showAll="0"/>
    <pivotField dataField="1" showAll="0"/>
    <pivotField showAll="0"/>
    <pivotField showAll="0"/>
    <pivotField showAll="0"/>
    <pivotField axis="axisRow" showAll="0" sortType="descending">
      <items count="4">
        <item x="2"/>
        <item x="1"/>
        <item x="0"/>
        <item t="default"/>
      </items>
    </pivotField>
    <pivotField showAll="0">
      <items count="5">
        <item x="0"/>
        <item x="2"/>
        <item x="3"/>
        <item x="1"/>
        <item t="default"/>
      </items>
    </pivotField>
    <pivotField showAll="0">
      <items count="4">
        <item x="1"/>
        <item x="0"/>
        <item x="2"/>
        <item t="default"/>
      </items>
    </pivotField>
    <pivotField dragToRow="0" dragToCol="0" dragToPage="0" showAll="0" defaultSubtotal="0"/>
  </pivotFields>
  <rowFields count="1">
    <field x="10"/>
  </rowFields>
  <rowItems count="4">
    <i>
      <x/>
    </i>
    <i>
      <x v="1"/>
    </i>
    <i>
      <x v="2"/>
    </i>
    <i t="grand">
      <x/>
    </i>
  </rowItems>
  <colItems count="1">
    <i/>
  </colItems>
  <dataFields count="1">
    <dataField name="Average of salary_in_usd" fld="6"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Type" xr10:uid="{177C4CB0-76DC-924D-B420-8812C5EE75BD}" sourceName="Remote_Type">
  <pivotTables>
    <pivotTable tabId="7" name="PivotTable18"/>
    <pivotTable tabId="4" name="PivotTable15"/>
    <pivotTable tabId="5" name="PivotTable16"/>
    <pivotTable tabId="6" name="PivotTable17"/>
    <pivotTable tabId="3" name="PivotTable14"/>
  </pivotTables>
  <data>
    <tabular pivotCacheId="15561569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Name" xr10:uid="{DDF997CB-1E0D-B549-942E-C86DFFF7BEA3}" sourceName="Experience_Name">
  <pivotTables>
    <pivotTable tabId="3" name="PivotTable14"/>
    <pivotTable tabId="7" name="PivotTable18"/>
    <pivotTable tabId="4" name="PivotTable15"/>
    <pivotTable tabId="5" name="PivotTable16"/>
    <pivotTable tabId="6" name="PivotTable17"/>
  </pivotTables>
  <data>
    <tabular pivotCacheId="155615697">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year" xr10:uid="{BC0FE400-C8D6-BE44-B755-1A08D93030EE}" sourceName="work_year">
  <pivotTables>
    <pivotTable tabId="3" name="PivotTable14"/>
  </pivotTables>
  <data>
    <tabular pivotCacheId="15561569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mote_Type" xr10:uid="{BB7FD10C-B4DC-BE45-967A-A1E4C888DDC1}" cache="Slicer_Remote_Type" caption="Remote_Type" columnCount="3" rowHeight="2194560"/>
  <slicer name="Experience_Name" xr10:uid="{F871B8A3-193A-814C-B8F3-21C58A4E3230}" cache="Slicer_Experience_Name" caption="Experience_Name" columnCount="4" rowHeight="2194560"/>
  <slicer name="work_year" xr10:uid="{C232354E-5DAF-1642-9D9C-E717350E626F}" cache="Slicer_work_year" caption="work_year" columnCount="2" rowHeight="21945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132B1-E3A1-504B-A415-CF735D036C27}">
  <dimension ref="A3:B13"/>
  <sheetViews>
    <sheetView topLeftCell="A2" workbookViewId="0">
      <selection activeCell="Z10" sqref="Z10"/>
    </sheetView>
    <sheetView workbookViewId="1"/>
  </sheetViews>
  <sheetFormatPr baseColWidth="10" defaultRowHeight="16" x14ac:dyDescent="0.2"/>
  <cols>
    <col min="1" max="1" width="29.6640625" bestFit="1" customWidth="1"/>
    <col min="2" max="2" width="20.6640625" bestFit="1" customWidth="1"/>
    <col min="3" max="3" width="11.83203125" bestFit="1" customWidth="1"/>
  </cols>
  <sheetData>
    <row r="3" spans="1:2" x14ac:dyDescent="0.2">
      <c r="A3" s="1" t="s">
        <v>129</v>
      </c>
      <c r="B3" t="s">
        <v>132</v>
      </c>
    </row>
    <row r="4" spans="1:2" x14ac:dyDescent="0.2">
      <c r="A4" s="2" t="s">
        <v>124</v>
      </c>
      <c r="B4" s="6">
        <v>423000</v>
      </c>
    </row>
    <row r="5" spans="1:2" x14ac:dyDescent="0.2">
      <c r="A5" s="2" t="s">
        <v>88</v>
      </c>
      <c r="B5" s="6">
        <v>180000</v>
      </c>
    </row>
    <row r="6" spans="1:2" x14ac:dyDescent="0.2">
      <c r="A6" s="2" t="s">
        <v>54</v>
      </c>
      <c r="B6" s="6">
        <v>197751.5</v>
      </c>
    </row>
    <row r="7" spans="1:2" x14ac:dyDescent="0.2">
      <c r="A7" s="2" t="s">
        <v>73</v>
      </c>
      <c r="B7" s="6">
        <v>450000</v>
      </c>
    </row>
    <row r="8" spans="1:2" x14ac:dyDescent="0.2">
      <c r="A8" s="2" t="s">
        <v>26</v>
      </c>
      <c r="B8" s="6">
        <v>232500</v>
      </c>
    </row>
    <row r="9" spans="1:2" x14ac:dyDescent="0.2">
      <c r="A9" s="2" t="s">
        <v>64</v>
      </c>
      <c r="B9" s="6">
        <v>180500</v>
      </c>
    </row>
    <row r="10" spans="1:2" x14ac:dyDescent="0.2">
      <c r="A10" s="2" t="s">
        <v>50</v>
      </c>
      <c r="B10" s="6">
        <v>180655.33333333334</v>
      </c>
    </row>
    <row r="11" spans="1:2" x14ac:dyDescent="0.2">
      <c r="A11" s="2" t="s">
        <v>80</v>
      </c>
      <c r="B11" s="6">
        <v>170000</v>
      </c>
    </row>
    <row r="12" spans="1:2" x14ac:dyDescent="0.2">
      <c r="A12" s="2" t="s">
        <v>115</v>
      </c>
      <c r="B12" s="6">
        <v>392500</v>
      </c>
    </row>
    <row r="13" spans="1:2" x14ac:dyDescent="0.2">
      <c r="A13" s="2" t="s">
        <v>105</v>
      </c>
      <c r="B13" s="6">
        <v>225097.8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D2914-42FB-DE4D-9C79-6067438A6EA2}">
  <dimension ref="A3:B7"/>
  <sheetViews>
    <sheetView workbookViewId="0">
      <selection activeCell="B6" sqref="B6"/>
    </sheetView>
    <sheetView workbookViewId="1"/>
  </sheetViews>
  <sheetFormatPr baseColWidth="10" defaultRowHeight="16" x14ac:dyDescent="0.2"/>
  <cols>
    <col min="1" max="1" width="12.6640625" bestFit="1" customWidth="1"/>
    <col min="2" max="2" width="17.83203125" bestFit="1" customWidth="1"/>
  </cols>
  <sheetData>
    <row r="3" spans="1:2" x14ac:dyDescent="0.2">
      <c r="A3" s="3" t="s">
        <v>129</v>
      </c>
      <c r="B3" s="4" t="s">
        <v>131</v>
      </c>
    </row>
    <row r="4" spans="1:2" x14ac:dyDescent="0.2">
      <c r="A4" s="5" t="s">
        <v>133</v>
      </c>
      <c r="B4" s="7">
        <v>3226687</v>
      </c>
    </row>
    <row r="5" spans="1:2" x14ac:dyDescent="0.2">
      <c r="A5" s="5" t="s">
        <v>134</v>
      </c>
      <c r="B5" s="7">
        <v>2489168</v>
      </c>
    </row>
    <row r="6" spans="1:2" x14ac:dyDescent="0.2">
      <c r="A6" s="5" t="s">
        <v>135</v>
      </c>
      <c r="B6" s="7">
        <v>8739528</v>
      </c>
    </row>
    <row r="7" spans="1:2" x14ac:dyDescent="0.2">
      <c r="A7" s="5" t="s">
        <v>136</v>
      </c>
      <c r="B7" s="7">
        <v>9920780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7D466-EEB8-C249-A88D-393D2331F52F}">
  <dimension ref="A3:B17"/>
  <sheetViews>
    <sheetView workbookViewId="0">
      <selection activeCell="F18" sqref="F18"/>
    </sheetView>
    <sheetView workbookViewId="1"/>
  </sheetViews>
  <sheetFormatPr baseColWidth="10" defaultRowHeight="16" x14ac:dyDescent="0.2"/>
  <cols>
    <col min="1" max="1" width="13" bestFit="1" customWidth="1"/>
    <col min="2" max="2" width="15.1640625" bestFit="1" customWidth="1"/>
  </cols>
  <sheetData>
    <row r="3" spans="1:2" x14ac:dyDescent="0.2">
      <c r="A3" s="1" t="s">
        <v>129</v>
      </c>
      <c r="B3" t="s">
        <v>137</v>
      </c>
    </row>
    <row r="4" spans="1:2" x14ac:dyDescent="0.2">
      <c r="A4" s="2" t="s">
        <v>35</v>
      </c>
      <c r="B4" s="6">
        <v>3</v>
      </c>
    </row>
    <row r="5" spans="1:2" x14ac:dyDescent="0.2">
      <c r="A5" s="2" t="s">
        <v>38</v>
      </c>
      <c r="B5" s="6">
        <v>11</v>
      </c>
    </row>
    <row r="6" spans="1:2" x14ac:dyDescent="0.2">
      <c r="A6" s="2" t="s">
        <v>15</v>
      </c>
      <c r="B6" s="6">
        <v>18</v>
      </c>
    </row>
    <row r="7" spans="1:2" x14ac:dyDescent="0.2">
      <c r="A7" s="2" t="s">
        <v>67</v>
      </c>
      <c r="B7" s="6">
        <v>3</v>
      </c>
    </row>
    <row r="8" spans="1:2" x14ac:dyDescent="0.2">
      <c r="A8" s="2" t="s">
        <v>53</v>
      </c>
      <c r="B8" s="6">
        <v>7</v>
      </c>
    </row>
    <row r="9" spans="1:2" x14ac:dyDescent="0.2">
      <c r="A9" s="2" t="s">
        <v>33</v>
      </c>
      <c r="B9" s="6">
        <v>11</v>
      </c>
    </row>
    <row r="10" spans="1:2" x14ac:dyDescent="0.2">
      <c r="A10" s="2" t="s">
        <v>52</v>
      </c>
      <c r="B10" s="6">
        <v>16</v>
      </c>
    </row>
    <row r="11" spans="1:2" x14ac:dyDescent="0.2">
      <c r="A11" s="2" t="s">
        <v>48</v>
      </c>
      <c r="B11" s="6">
        <v>17</v>
      </c>
    </row>
    <row r="12" spans="1:2" x14ac:dyDescent="0.2">
      <c r="A12" s="2" t="s">
        <v>87</v>
      </c>
      <c r="B12" s="6">
        <v>4</v>
      </c>
    </row>
    <row r="13" spans="1:2" x14ac:dyDescent="0.2">
      <c r="A13" s="2" t="s">
        <v>84</v>
      </c>
      <c r="B13" s="6">
        <v>3</v>
      </c>
    </row>
    <row r="14" spans="1:2" x14ac:dyDescent="0.2">
      <c r="A14" s="2" t="s">
        <v>56</v>
      </c>
      <c r="B14" s="6">
        <v>3</v>
      </c>
    </row>
    <row r="15" spans="1:2" x14ac:dyDescent="0.2">
      <c r="A15" s="2" t="s">
        <v>82</v>
      </c>
      <c r="B15" s="6">
        <v>3</v>
      </c>
    </row>
    <row r="16" spans="1:2" x14ac:dyDescent="0.2">
      <c r="A16" s="2" t="s">
        <v>20</v>
      </c>
      <c r="B16" s="6">
        <v>108</v>
      </c>
    </row>
    <row r="17" spans="1:2" x14ac:dyDescent="0.2">
      <c r="A17" s="2" t="s">
        <v>130</v>
      </c>
      <c r="B17" s="6">
        <v>207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C97B7-6865-914B-AA6E-3B5D2073FC4C}">
  <dimension ref="A3:B7"/>
  <sheetViews>
    <sheetView topLeftCell="C2" workbookViewId="0">
      <selection activeCell="B4" sqref="B4"/>
    </sheetView>
    <sheetView workbookViewId="1"/>
  </sheetViews>
  <sheetFormatPr baseColWidth="10" defaultRowHeight="16" x14ac:dyDescent="0.2"/>
  <cols>
    <col min="1" max="1" width="13" bestFit="1" customWidth="1"/>
    <col min="2" max="2" width="15.1640625" bestFit="1" customWidth="1"/>
  </cols>
  <sheetData>
    <row r="3" spans="1:2" x14ac:dyDescent="0.2">
      <c r="A3" s="1" t="s">
        <v>129</v>
      </c>
      <c r="B3" t="s">
        <v>137</v>
      </c>
    </row>
    <row r="4" spans="1:2" x14ac:dyDescent="0.2">
      <c r="A4" s="2" t="s">
        <v>138</v>
      </c>
      <c r="B4" s="6">
        <v>134</v>
      </c>
    </row>
    <row r="5" spans="1:2" x14ac:dyDescent="0.2">
      <c r="A5" s="2" t="s">
        <v>139</v>
      </c>
      <c r="B5" s="6">
        <v>70</v>
      </c>
    </row>
    <row r="6" spans="1:2" x14ac:dyDescent="0.2">
      <c r="A6" s="2" t="s">
        <v>140</v>
      </c>
      <c r="B6" s="6">
        <v>40</v>
      </c>
    </row>
    <row r="7" spans="1:2" x14ac:dyDescent="0.2">
      <c r="A7" s="2" t="s">
        <v>130</v>
      </c>
      <c r="B7" s="6">
        <v>244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F324C-DE82-A542-A9DB-1A3C11A53A04}">
  <dimension ref="A3:B7"/>
  <sheetViews>
    <sheetView workbookViewId="0">
      <selection activeCell="M10" sqref="M10"/>
    </sheetView>
    <sheetView workbookViewId="1"/>
  </sheetViews>
  <sheetFormatPr baseColWidth="10" defaultRowHeight="16" x14ac:dyDescent="0.2"/>
  <cols>
    <col min="1" max="1" width="13" bestFit="1" customWidth="1"/>
    <col min="2" max="2" width="21.6640625" bestFit="1" customWidth="1"/>
  </cols>
  <sheetData>
    <row r="3" spans="1:2" x14ac:dyDescent="0.2">
      <c r="A3" s="1" t="s">
        <v>129</v>
      </c>
      <c r="B3" t="s">
        <v>132</v>
      </c>
    </row>
    <row r="4" spans="1:2" x14ac:dyDescent="0.2">
      <c r="A4" s="2" t="s">
        <v>28</v>
      </c>
      <c r="B4" s="6">
        <v>80874.793103448275</v>
      </c>
    </row>
    <row r="5" spans="1:2" x14ac:dyDescent="0.2">
      <c r="A5" s="2" t="s">
        <v>25</v>
      </c>
      <c r="B5" s="6">
        <v>85082.818181818177</v>
      </c>
    </row>
    <row r="6" spans="1:2" x14ac:dyDescent="0.2">
      <c r="A6" s="2" t="s">
        <v>16</v>
      </c>
      <c r="B6" s="6">
        <v>114548.62595419848</v>
      </c>
    </row>
    <row r="7" spans="1:2" x14ac:dyDescent="0.2">
      <c r="A7" s="2" t="s">
        <v>130</v>
      </c>
      <c r="B7" s="6">
        <v>99902.307377049176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137CB-FF68-2243-9AEA-D32302BE6228}">
  <dimension ref="A1:M245"/>
  <sheetViews>
    <sheetView zoomScale="150" workbookViewId="0">
      <selection activeCell="C14" sqref="A1:M245"/>
    </sheetView>
    <sheetView workbookViewId="1"/>
  </sheetViews>
  <sheetFormatPr baseColWidth="10" defaultRowHeight="16" x14ac:dyDescent="0.2"/>
  <cols>
    <col min="11" max="11" width="12.5" bestFit="1" customWidth="1"/>
    <col min="12" max="12" width="15.83203125" bestFit="1" customWidth="1"/>
  </cols>
  <sheetData>
    <row r="1" spans="1:13" x14ac:dyDescent="0.2">
      <c r="A1" t="s">
        <v>0</v>
      </c>
      <c r="B1" t="s">
        <v>1</v>
      </c>
      <c r="C1" t="s">
        <v>2</v>
      </c>
      <c r="D1" t="s">
        <v>3</v>
      </c>
      <c r="E1" t="s">
        <v>4</v>
      </c>
      <c r="F1" t="s">
        <v>5</v>
      </c>
      <c r="G1" t="s">
        <v>6</v>
      </c>
      <c r="H1" t="s">
        <v>7</v>
      </c>
      <c r="I1" t="s">
        <v>8</v>
      </c>
      <c r="J1" t="s">
        <v>9</v>
      </c>
      <c r="K1" t="s">
        <v>10</v>
      </c>
      <c r="L1" t="s">
        <v>127</v>
      </c>
      <c r="M1" t="s">
        <v>128</v>
      </c>
    </row>
    <row r="2" spans="1:13" x14ac:dyDescent="0.2">
      <c r="A2">
        <v>2021</v>
      </c>
      <c r="B2" t="s">
        <v>11</v>
      </c>
      <c r="C2" t="s">
        <v>12</v>
      </c>
      <c r="D2" t="s">
        <v>13</v>
      </c>
      <c r="E2">
        <v>54000</v>
      </c>
      <c r="F2" t="s">
        <v>14</v>
      </c>
      <c r="G2">
        <v>64369</v>
      </c>
      <c r="H2" t="s">
        <v>15</v>
      </c>
      <c r="I2">
        <v>50</v>
      </c>
      <c r="J2" t="s">
        <v>15</v>
      </c>
      <c r="K2" t="s">
        <v>16</v>
      </c>
      <c r="L2" t="str" cm="1">
        <f t="array" ref="L2">_xlfn.IFS(B2="EN","Entry Level",B2="MI","Mid Level",B2="SE","Senior Level",B2="EX","Expert Level")</f>
        <v>Entry Level</v>
      </c>
      <c r="M2" t="str" cm="1">
        <f t="array" ref="M2">_xlfn.IFS(I2=100,"Full Remote",I2=50,"Hybrid",I2=0,"On-Site")</f>
        <v>Hybrid</v>
      </c>
    </row>
    <row r="3" spans="1:13" x14ac:dyDescent="0.2">
      <c r="A3">
        <v>2020</v>
      </c>
      <c r="B3" t="s">
        <v>17</v>
      </c>
      <c r="C3" t="s">
        <v>12</v>
      </c>
      <c r="D3" t="s">
        <v>18</v>
      </c>
      <c r="E3">
        <v>60000</v>
      </c>
      <c r="F3" t="s">
        <v>14</v>
      </c>
      <c r="G3">
        <v>68428</v>
      </c>
      <c r="H3" t="s">
        <v>19</v>
      </c>
      <c r="I3">
        <v>100</v>
      </c>
      <c r="J3" t="s">
        <v>20</v>
      </c>
      <c r="K3" t="s">
        <v>16</v>
      </c>
      <c r="L3" t="str" cm="1">
        <f t="array" ref="L3">_xlfn.IFS(B3="EN","Entry Level",B3="MI","Mid Level",B3="SE","Senior Level",B3="EX","Expert Level")</f>
        <v>Senior Level</v>
      </c>
      <c r="M3" t="str" cm="1">
        <f t="array" ref="M3">_xlfn.IFS(I3=100,"Full Remote",I3=50,"Hybrid",I3=0,"On-Site")</f>
        <v>Full Remote</v>
      </c>
    </row>
    <row r="4" spans="1:13" x14ac:dyDescent="0.2">
      <c r="A4">
        <v>2021</v>
      </c>
      <c r="B4" t="s">
        <v>21</v>
      </c>
      <c r="C4" t="s">
        <v>12</v>
      </c>
      <c r="D4" t="s">
        <v>22</v>
      </c>
      <c r="E4">
        <v>85000</v>
      </c>
      <c r="F4" t="s">
        <v>23</v>
      </c>
      <c r="G4">
        <v>85000</v>
      </c>
      <c r="H4" t="s">
        <v>24</v>
      </c>
      <c r="I4">
        <v>0</v>
      </c>
      <c r="J4" t="s">
        <v>24</v>
      </c>
      <c r="K4" t="s">
        <v>25</v>
      </c>
      <c r="L4" t="str" cm="1">
        <f t="array" ref="L4">_xlfn.IFS(B4="EN","Entry Level",B4="MI","Mid Level",B4="SE","Senior Level",B4="EX","Expert Level")</f>
        <v>Expert Level</v>
      </c>
      <c r="M4" t="str" cm="1">
        <f t="array" ref="M4">_xlfn.IFS(I4=100,"Full Remote",I4=50,"Hybrid",I4=0,"On-Site")</f>
        <v>On-Site</v>
      </c>
    </row>
    <row r="5" spans="1:13" x14ac:dyDescent="0.2">
      <c r="A5">
        <v>2021</v>
      </c>
      <c r="B5" t="s">
        <v>21</v>
      </c>
      <c r="C5" t="s">
        <v>12</v>
      </c>
      <c r="D5" t="s">
        <v>26</v>
      </c>
      <c r="E5">
        <v>230000</v>
      </c>
      <c r="F5" t="s">
        <v>23</v>
      </c>
      <c r="G5">
        <v>230000</v>
      </c>
      <c r="H5" t="s">
        <v>24</v>
      </c>
      <c r="I5">
        <v>50</v>
      </c>
      <c r="J5" t="s">
        <v>24</v>
      </c>
      <c r="K5" t="s">
        <v>16</v>
      </c>
      <c r="L5" t="str" cm="1">
        <f t="array" ref="L5">_xlfn.IFS(B5="EN","Entry Level",B5="MI","Mid Level",B5="SE","Senior Level",B5="EX","Expert Level")</f>
        <v>Expert Level</v>
      </c>
      <c r="M5" t="str" cm="1">
        <f t="array" ref="M5">_xlfn.IFS(I5=100,"Full Remote",I5=50,"Hybrid",I5=0,"On-Site")</f>
        <v>Hybrid</v>
      </c>
    </row>
    <row r="6" spans="1:13" x14ac:dyDescent="0.2">
      <c r="A6">
        <v>2021</v>
      </c>
      <c r="B6" t="s">
        <v>11</v>
      </c>
      <c r="C6" t="s">
        <v>12</v>
      </c>
      <c r="D6" t="s">
        <v>27</v>
      </c>
      <c r="E6">
        <v>125000</v>
      </c>
      <c r="F6" t="s">
        <v>23</v>
      </c>
      <c r="G6">
        <v>125000</v>
      </c>
      <c r="H6" t="s">
        <v>20</v>
      </c>
      <c r="I6">
        <v>100</v>
      </c>
      <c r="J6" t="s">
        <v>20</v>
      </c>
      <c r="K6" t="s">
        <v>28</v>
      </c>
      <c r="L6" t="str" cm="1">
        <f t="array" ref="L6">_xlfn.IFS(B6="EN","Entry Level",B6="MI","Mid Level",B6="SE","Senior Level",B6="EX","Expert Level")</f>
        <v>Entry Level</v>
      </c>
      <c r="M6" t="str" cm="1">
        <f t="array" ref="M6">_xlfn.IFS(I6=100,"Full Remote",I6=50,"Hybrid",I6=0,"On-Site")</f>
        <v>Full Remote</v>
      </c>
    </row>
    <row r="7" spans="1:13" x14ac:dyDescent="0.2">
      <c r="A7">
        <v>2021</v>
      </c>
      <c r="B7" t="s">
        <v>17</v>
      </c>
      <c r="C7" t="s">
        <v>12</v>
      </c>
      <c r="D7" t="s">
        <v>29</v>
      </c>
      <c r="E7">
        <v>120000</v>
      </c>
      <c r="F7" t="s">
        <v>23</v>
      </c>
      <c r="G7">
        <v>120000</v>
      </c>
      <c r="H7" t="s">
        <v>20</v>
      </c>
      <c r="I7">
        <v>100</v>
      </c>
      <c r="J7" t="s">
        <v>20</v>
      </c>
      <c r="K7" t="s">
        <v>25</v>
      </c>
      <c r="L7" t="str" cm="1">
        <f t="array" ref="L7">_xlfn.IFS(B7="EN","Entry Level",B7="MI","Mid Level",B7="SE","Senior Level",B7="EX","Expert Level")</f>
        <v>Senior Level</v>
      </c>
      <c r="M7" t="str" cm="1">
        <f t="array" ref="M7">_xlfn.IFS(I7=100,"Full Remote",I7=50,"Hybrid",I7=0,"On-Site")</f>
        <v>Full Remote</v>
      </c>
    </row>
    <row r="8" spans="1:13" x14ac:dyDescent="0.2">
      <c r="A8">
        <v>2020</v>
      </c>
      <c r="B8" t="s">
        <v>30</v>
      </c>
      <c r="C8" t="s">
        <v>12</v>
      </c>
      <c r="D8" t="s">
        <v>31</v>
      </c>
      <c r="E8">
        <v>450000</v>
      </c>
      <c r="F8" t="s">
        <v>23</v>
      </c>
      <c r="G8">
        <v>450000</v>
      </c>
      <c r="H8" t="s">
        <v>20</v>
      </c>
      <c r="I8">
        <v>0</v>
      </c>
      <c r="J8" t="s">
        <v>20</v>
      </c>
      <c r="K8" t="s">
        <v>25</v>
      </c>
      <c r="L8" t="str" cm="1">
        <f t="array" ref="L8">_xlfn.IFS(B8="EN","Entry Level",B8="MI","Mid Level",B8="SE","Senior Level",B8="EX","Expert Level")</f>
        <v>Mid Level</v>
      </c>
      <c r="M8" t="str" cm="1">
        <f t="array" ref="M8">_xlfn.IFS(I8=100,"Full Remote",I8=50,"Hybrid",I8=0,"On-Site")</f>
        <v>On-Site</v>
      </c>
    </row>
    <row r="9" spans="1:13" x14ac:dyDescent="0.2">
      <c r="A9">
        <v>2020</v>
      </c>
      <c r="B9" t="s">
        <v>30</v>
      </c>
      <c r="C9" t="s">
        <v>12</v>
      </c>
      <c r="D9" t="s">
        <v>32</v>
      </c>
      <c r="E9">
        <v>41000</v>
      </c>
      <c r="F9" t="s">
        <v>14</v>
      </c>
      <c r="G9">
        <v>46759</v>
      </c>
      <c r="H9" t="s">
        <v>33</v>
      </c>
      <c r="I9">
        <v>50</v>
      </c>
      <c r="J9" t="s">
        <v>33</v>
      </c>
      <c r="K9" t="s">
        <v>16</v>
      </c>
      <c r="L9" t="str" cm="1">
        <f t="array" ref="L9">_xlfn.IFS(B9="EN","Entry Level",B9="MI","Mid Level",B9="SE","Senior Level",B9="EX","Expert Level")</f>
        <v>Mid Level</v>
      </c>
      <c r="M9" t="str" cm="1">
        <f t="array" ref="M9">_xlfn.IFS(I9=100,"Full Remote",I9=50,"Hybrid",I9=0,"On-Site")</f>
        <v>Hybrid</v>
      </c>
    </row>
    <row r="10" spans="1:13" x14ac:dyDescent="0.2">
      <c r="A10">
        <v>2020</v>
      </c>
      <c r="B10" t="s">
        <v>30</v>
      </c>
      <c r="C10" t="s">
        <v>12</v>
      </c>
      <c r="D10" t="s">
        <v>34</v>
      </c>
      <c r="E10">
        <v>65000</v>
      </c>
      <c r="F10" t="s">
        <v>14</v>
      </c>
      <c r="G10">
        <v>74130</v>
      </c>
      <c r="H10" t="s">
        <v>35</v>
      </c>
      <c r="I10">
        <v>50</v>
      </c>
      <c r="J10" t="s">
        <v>35</v>
      </c>
      <c r="K10" t="s">
        <v>16</v>
      </c>
      <c r="L10" t="str" cm="1">
        <f t="array" ref="L10">_xlfn.IFS(B10="EN","Entry Level",B10="MI","Mid Level",B10="SE","Senior Level",B10="EX","Expert Level")</f>
        <v>Mid Level</v>
      </c>
      <c r="M10" t="str" cm="1">
        <f t="array" ref="M10">_xlfn.IFS(I10=100,"Full Remote",I10=50,"Hybrid",I10=0,"On-Site")</f>
        <v>Hybrid</v>
      </c>
    </row>
    <row r="11" spans="1:13" x14ac:dyDescent="0.2">
      <c r="A11">
        <v>2021</v>
      </c>
      <c r="B11" t="s">
        <v>17</v>
      </c>
      <c r="C11" t="s">
        <v>12</v>
      </c>
      <c r="D11" t="s">
        <v>36</v>
      </c>
      <c r="E11">
        <v>159500</v>
      </c>
      <c r="F11" t="s">
        <v>37</v>
      </c>
      <c r="G11">
        <v>127543</v>
      </c>
      <c r="H11" t="s">
        <v>38</v>
      </c>
      <c r="I11">
        <v>50</v>
      </c>
      <c r="J11" t="s">
        <v>38</v>
      </c>
      <c r="K11" t="s">
        <v>16</v>
      </c>
      <c r="L11" t="str" cm="1">
        <f t="array" ref="L11">_xlfn.IFS(B11="EN","Entry Level",B11="MI","Mid Level",B11="SE","Senior Level",B11="EX","Expert Level")</f>
        <v>Senior Level</v>
      </c>
      <c r="M11" t="str" cm="1">
        <f t="array" ref="M11">_xlfn.IFS(I11=100,"Full Remote",I11=50,"Hybrid",I11=0,"On-Site")</f>
        <v>Hybrid</v>
      </c>
    </row>
    <row r="12" spans="1:13" x14ac:dyDescent="0.2">
      <c r="A12">
        <v>2021</v>
      </c>
      <c r="B12" t="s">
        <v>17</v>
      </c>
      <c r="C12" t="s">
        <v>12</v>
      </c>
      <c r="D12" t="s">
        <v>39</v>
      </c>
      <c r="E12">
        <v>144000</v>
      </c>
      <c r="F12" t="s">
        <v>23</v>
      </c>
      <c r="G12">
        <v>144000</v>
      </c>
      <c r="H12" t="s">
        <v>20</v>
      </c>
      <c r="I12">
        <v>100</v>
      </c>
      <c r="J12" t="s">
        <v>20</v>
      </c>
      <c r="K12" t="s">
        <v>16</v>
      </c>
      <c r="L12" t="str" cm="1">
        <f t="array" ref="L12">_xlfn.IFS(B12="EN","Entry Level",B12="MI","Mid Level",B12="SE","Senior Level",B12="EX","Expert Level")</f>
        <v>Senior Level</v>
      </c>
      <c r="M12" t="str" cm="1">
        <f t="array" ref="M12">_xlfn.IFS(I12=100,"Full Remote",I12=50,"Hybrid",I12=0,"On-Site")</f>
        <v>Full Remote</v>
      </c>
    </row>
    <row r="13" spans="1:13" x14ac:dyDescent="0.2">
      <c r="A13">
        <v>2021</v>
      </c>
      <c r="B13" t="s">
        <v>11</v>
      </c>
      <c r="C13" t="s">
        <v>12</v>
      </c>
      <c r="D13" t="s">
        <v>18</v>
      </c>
      <c r="E13">
        <v>13400</v>
      </c>
      <c r="F13" t="s">
        <v>23</v>
      </c>
      <c r="G13">
        <v>13400</v>
      </c>
      <c r="H13" t="s">
        <v>40</v>
      </c>
      <c r="I13">
        <v>100</v>
      </c>
      <c r="J13" t="s">
        <v>40</v>
      </c>
      <c r="K13" t="s">
        <v>16</v>
      </c>
      <c r="L13" t="str" cm="1">
        <f t="array" ref="L13">_xlfn.IFS(B13="EN","Entry Level",B13="MI","Mid Level",B13="SE","Senior Level",B13="EX","Expert Level")</f>
        <v>Entry Level</v>
      </c>
      <c r="M13" t="str" cm="1">
        <f t="array" ref="M13">_xlfn.IFS(I13=100,"Full Remote",I13=50,"Hybrid",I13=0,"On-Site")</f>
        <v>Full Remote</v>
      </c>
    </row>
    <row r="14" spans="1:13" x14ac:dyDescent="0.2">
      <c r="A14">
        <v>2021</v>
      </c>
      <c r="B14" t="s">
        <v>30</v>
      </c>
      <c r="C14" t="s">
        <v>12</v>
      </c>
      <c r="D14" t="s">
        <v>18</v>
      </c>
      <c r="E14">
        <v>95000</v>
      </c>
      <c r="F14" t="s">
        <v>37</v>
      </c>
      <c r="G14">
        <v>75966</v>
      </c>
      <c r="H14" t="s">
        <v>38</v>
      </c>
      <c r="I14">
        <v>100</v>
      </c>
      <c r="J14" t="s">
        <v>38</v>
      </c>
      <c r="K14" t="s">
        <v>16</v>
      </c>
      <c r="L14" t="str" cm="1">
        <f t="array" ref="L14">_xlfn.IFS(B14="EN","Entry Level",B14="MI","Mid Level",B14="SE","Senior Level",B14="EX","Expert Level")</f>
        <v>Mid Level</v>
      </c>
      <c r="M14" t="str" cm="1">
        <f t="array" ref="M14">_xlfn.IFS(I14=100,"Full Remote",I14=50,"Hybrid",I14=0,"On-Site")</f>
        <v>Full Remote</v>
      </c>
    </row>
    <row r="15" spans="1:13" x14ac:dyDescent="0.2">
      <c r="A15">
        <v>2021</v>
      </c>
      <c r="B15" t="s">
        <v>30</v>
      </c>
      <c r="C15" t="s">
        <v>12</v>
      </c>
      <c r="D15" t="s">
        <v>18</v>
      </c>
      <c r="E15">
        <v>150000</v>
      </c>
      <c r="F15" t="s">
        <v>23</v>
      </c>
      <c r="G15">
        <v>150000</v>
      </c>
      <c r="H15" t="s">
        <v>20</v>
      </c>
      <c r="I15">
        <v>100</v>
      </c>
      <c r="J15" t="s">
        <v>20</v>
      </c>
      <c r="K15" t="s">
        <v>25</v>
      </c>
      <c r="L15" t="str" cm="1">
        <f t="array" ref="L15">_xlfn.IFS(B15="EN","Entry Level",B15="MI","Mid Level",B15="SE","Senior Level",B15="EX","Expert Level")</f>
        <v>Mid Level</v>
      </c>
      <c r="M15" t="str" cm="1">
        <f t="array" ref="M15">_xlfn.IFS(I15=100,"Full Remote",I15=50,"Hybrid",I15=0,"On-Site")</f>
        <v>Full Remote</v>
      </c>
    </row>
    <row r="16" spans="1:13" x14ac:dyDescent="0.2">
      <c r="A16">
        <v>2020</v>
      </c>
      <c r="B16" t="s">
        <v>30</v>
      </c>
      <c r="C16" t="s">
        <v>12</v>
      </c>
      <c r="D16" t="s">
        <v>13</v>
      </c>
      <c r="E16">
        <v>103000</v>
      </c>
      <c r="F16" t="s">
        <v>23</v>
      </c>
      <c r="G16">
        <v>103000</v>
      </c>
      <c r="H16" t="s">
        <v>20</v>
      </c>
      <c r="I16">
        <v>100</v>
      </c>
      <c r="J16" t="s">
        <v>20</v>
      </c>
      <c r="K16" t="s">
        <v>16</v>
      </c>
      <c r="L16" t="str" cm="1">
        <f t="array" ref="L16">_xlfn.IFS(B16="EN","Entry Level",B16="MI","Mid Level",B16="SE","Senior Level",B16="EX","Expert Level")</f>
        <v>Mid Level</v>
      </c>
      <c r="M16" t="str" cm="1">
        <f t="array" ref="M16">_xlfn.IFS(I16=100,"Full Remote",I16=50,"Hybrid",I16=0,"On-Site")</f>
        <v>Full Remote</v>
      </c>
    </row>
    <row r="17" spans="1:13" x14ac:dyDescent="0.2">
      <c r="A17">
        <v>2021</v>
      </c>
      <c r="B17" t="s">
        <v>17</v>
      </c>
      <c r="C17" t="s">
        <v>12</v>
      </c>
      <c r="D17" t="s">
        <v>41</v>
      </c>
      <c r="E17">
        <v>153000</v>
      </c>
      <c r="F17" t="s">
        <v>23</v>
      </c>
      <c r="G17">
        <v>153000</v>
      </c>
      <c r="H17" t="s">
        <v>20</v>
      </c>
      <c r="I17">
        <v>100</v>
      </c>
      <c r="J17" t="s">
        <v>20</v>
      </c>
      <c r="K17" t="s">
        <v>16</v>
      </c>
      <c r="L17" t="str" cm="1">
        <f t="array" ref="L17">_xlfn.IFS(B17="EN","Entry Level",B17="MI","Mid Level",B17="SE","Senior Level",B17="EX","Expert Level")</f>
        <v>Senior Level</v>
      </c>
      <c r="M17" t="str" cm="1">
        <f t="array" ref="M17">_xlfn.IFS(I17=100,"Full Remote",I17=50,"Hybrid",I17=0,"On-Site")</f>
        <v>Full Remote</v>
      </c>
    </row>
    <row r="18" spans="1:13" x14ac:dyDescent="0.2">
      <c r="A18">
        <v>2021</v>
      </c>
      <c r="B18" t="s">
        <v>30</v>
      </c>
      <c r="C18" t="s">
        <v>12</v>
      </c>
      <c r="D18" t="s">
        <v>34</v>
      </c>
      <c r="E18">
        <v>90000</v>
      </c>
      <c r="F18" t="s">
        <v>23</v>
      </c>
      <c r="G18">
        <v>90000</v>
      </c>
      <c r="H18" t="s">
        <v>20</v>
      </c>
      <c r="I18">
        <v>100</v>
      </c>
      <c r="J18" t="s">
        <v>20</v>
      </c>
      <c r="K18" t="s">
        <v>16</v>
      </c>
      <c r="L18" t="str" cm="1">
        <f t="array" ref="L18">_xlfn.IFS(B18="EN","Entry Level",B18="MI","Mid Level",B18="SE","Senior Level",B18="EX","Expert Level")</f>
        <v>Mid Level</v>
      </c>
      <c r="M18" t="str" cm="1">
        <f t="array" ref="M18">_xlfn.IFS(I18=100,"Full Remote",I18=50,"Hybrid",I18=0,"On-Site")</f>
        <v>Full Remote</v>
      </c>
    </row>
    <row r="19" spans="1:13" x14ac:dyDescent="0.2">
      <c r="A19">
        <v>2021</v>
      </c>
      <c r="B19" t="s">
        <v>11</v>
      </c>
      <c r="C19" t="s">
        <v>12</v>
      </c>
      <c r="D19" t="s">
        <v>32</v>
      </c>
      <c r="E19">
        <v>90000</v>
      </c>
      <c r="F19" t="s">
        <v>23</v>
      </c>
      <c r="G19">
        <v>90000</v>
      </c>
      <c r="H19" t="s">
        <v>20</v>
      </c>
      <c r="I19">
        <v>100</v>
      </c>
      <c r="J19" t="s">
        <v>20</v>
      </c>
      <c r="K19" t="s">
        <v>28</v>
      </c>
      <c r="L19" t="str" cm="1">
        <f t="array" ref="L19">_xlfn.IFS(B19="EN","Entry Level",B19="MI","Mid Level",B19="SE","Senior Level",B19="EX","Expert Level")</f>
        <v>Entry Level</v>
      </c>
      <c r="M19" t="str" cm="1">
        <f t="array" ref="M19">_xlfn.IFS(I19=100,"Full Remote",I19=50,"Hybrid",I19=0,"On-Site")</f>
        <v>Full Remote</v>
      </c>
    </row>
    <row r="20" spans="1:13" x14ac:dyDescent="0.2">
      <c r="A20">
        <v>2021</v>
      </c>
      <c r="B20" t="s">
        <v>11</v>
      </c>
      <c r="C20" t="s">
        <v>12</v>
      </c>
      <c r="D20" t="s">
        <v>32</v>
      </c>
      <c r="E20">
        <v>60000</v>
      </c>
      <c r="F20" t="s">
        <v>23</v>
      </c>
      <c r="G20">
        <v>60000</v>
      </c>
      <c r="H20" t="s">
        <v>20</v>
      </c>
      <c r="I20">
        <v>100</v>
      </c>
      <c r="J20" t="s">
        <v>20</v>
      </c>
      <c r="K20" t="s">
        <v>28</v>
      </c>
      <c r="L20" t="str" cm="1">
        <f t="array" ref="L20">_xlfn.IFS(B20="EN","Entry Level",B20="MI","Mid Level",B20="SE","Senior Level",B20="EX","Expert Level")</f>
        <v>Entry Level</v>
      </c>
      <c r="M20" t="str" cm="1">
        <f t="array" ref="M20">_xlfn.IFS(I20=100,"Full Remote",I20=50,"Hybrid",I20=0,"On-Site")</f>
        <v>Full Remote</v>
      </c>
    </row>
    <row r="21" spans="1:13" x14ac:dyDescent="0.2">
      <c r="A21">
        <v>2021</v>
      </c>
      <c r="B21" t="s">
        <v>30</v>
      </c>
      <c r="C21" t="s">
        <v>12</v>
      </c>
      <c r="D21" t="s">
        <v>18</v>
      </c>
      <c r="E21">
        <v>50000</v>
      </c>
      <c r="F21" t="s">
        <v>23</v>
      </c>
      <c r="G21">
        <v>50000</v>
      </c>
      <c r="H21" t="s">
        <v>42</v>
      </c>
      <c r="I21">
        <v>100</v>
      </c>
      <c r="J21" t="s">
        <v>42</v>
      </c>
      <c r="K21" t="s">
        <v>16</v>
      </c>
      <c r="L21" t="str" cm="1">
        <f t="array" ref="L21">_xlfn.IFS(B21="EN","Entry Level",B21="MI","Mid Level",B21="SE","Senior Level",B21="EX","Expert Level")</f>
        <v>Mid Level</v>
      </c>
      <c r="M21" t="str" cm="1">
        <f t="array" ref="M21">_xlfn.IFS(I21=100,"Full Remote",I21=50,"Hybrid",I21=0,"On-Site")</f>
        <v>Full Remote</v>
      </c>
    </row>
    <row r="22" spans="1:13" x14ac:dyDescent="0.2">
      <c r="A22">
        <v>2021</v>
      </c>
      <c r="B22" t="s">
        <v>11</v>
      </c>
      <c r="C22" t="s">
        <v>43</v>
      </c>
      <c r="D22" t="s">
        <v>44</v>
      </c>
      <c r="E22">
        <v>12000</v>
      </c>
      <c r="F22" t="s">
        <v>23</v>
      </c>
      <c r="G22">
        <v>12000</v>
      </c>
      <c r="H22" t="s">
        <v>45</v>
      </c>
      <c r="I22">
        <v>100</v>
      </c>
      <c r="J22" t="s">
        <v>20</v>
      </c>
      <c r="K22" t="s">
        <v>25</v>
      </c>
      <c r="L22" t="str" cm="1">
        <f t="array" ref="L22">_xlfn.IFS(B22="EN","Entry Level",B22="MI","Mid Level",B22="SE","Senior Level",B22="EX","Expert Level")</f>
        <v>Entry Level</v>
      </c>
      <c r="M22" t="str" cm="1">
        <f t="array" ref="M22">_xlfn.IFS(I22=100,"Full Remote",I22=50,"Hybrid",I22=0,"On-Site")</f>
        <v>Full Remote</v>
      </c>
    </row>
    <row r="23" spans="1:13" x14ac:dyDescent="0.2">
      <c r="A23">
        <v>2021</v>
      </c>
      <c r="B23" t="s">
        <v>30</v>
      </c>
      <c r="C23" t="s">
        <v>43</v>
      </c>
      <c r="D23" t="s">
        <v>46</v>
      </c>
      <c r="E23">
        <v>400000</v>
      </c>
      <c r="F23" t="s">
        <v>47</v>
      </c>
      <c r="G23">
        <v>5423</v>
      </c>
      <c r="H23" t="s">
        <v>48</v>
      </c>
      <c r="I23">
        <v>50</v>
      </c>
      <c r="J23" t="s">
        <v>48</v>
      </c>
      <c r="K23" t="s">
        <v>25</v>
      </c>
      <c r="L23" t="str" cm="1">
        <f t="array" ref="L23">_xlfn.IFS(B23="EN","Entry Level",B23="MI","Mid Level",B23="SE","Senior Level",B23="EX","Expert Level")</f>
        <v>Mid Level</v>
      </c>
      <c r="M23" t="str" cm="1">
        <f t="array" ref="M23">_xlfn.IFS(I23=100,"Full Remote",I23=50,"Hybrid",I23=0,"On-Site")</f>
        <v>Hybrid</v>
      </c>
    </row>
    <row r="24" spans="1:13" x14ac:dyDescent="0.2">
      <c r="A24">
        <v>2021</v>
      </c>
      <c r="B24" t="s">
        <v>30</v>
      </c>
      <c r="C24" t="s">
        <v>49</v>
      </c>
      <c r="D24" t="s">
        <v>50</v>
      </c>
      <c r="E24">
        <v>270000</v>
      </c>
      <c r="F24" t="s">
        <v>23</v>
      </c>
      <c r="G24">
        <v>270000</v>
      </c>
      <c r="H24" t="s">
        <v>20</v>
      </c>
      <c r="I24">
        <v>100</v>
      </c>
      <c r="J24" t="s">
        <v>20</v>
      </c>
      <c r="K24" t="s">
        <v>16</v>
      </c>
      <c r="L24" t="str" cm="1">
        <f t="array" ref="L24">_xlfn.IFS(B24="EN","Entry Level",B24="MI","Mid Level",B24="SE","Senior Level",B24="EX","Expert Level")</f>
        <v>Mid Level</v>
      </c>
      <c r="M24" t="str" cm="1">
        <f t="array" ref="M24">_xlfn.IFS(I24=100,"Full Remote",I24=50,"Hybrid",I24=0,"On-Site")</f>
        <v>Full Remote</v>
      </c>
    </row>
    <row r="25" spans="1:13" x14ac:dyDescent="0.2">
      <c r="A25">
        <v>2021</v>
      </c>
      <c r="B25" t="s">
        <v>30</v>
      </c>
      <c r="C25" t="s">
        <v>12</v>
      </c>
      <c r="D25" t="s">
        <v>51</v>
      </c>
      <c r="E25">
        <v>68000</v>
      </c>
      <c r="F25" t="s">
        <v>37</v>
      </c>
      <c r="G25">
        <v>54376</v>
      </c>
      <c r="H25" t="s">
        <v>52</v>
      </c>
      <c r="I25">
        <v>50</v>
      </c>
      <c r="J25" t="s">
        <v>38</v>
      </c>
      <c r="K25" t="s">
        <v>16</v>
      </c>
      <c r="L25" t="str" cm="1">
        <f t="array" ref="L25">_xlfn.IFS(B25="EN","Entry Level",B25="MI","Mid Level",B25="SE","Senior Level",B25="EX","Expert Level")</f>
        <v>Mid Level</v>
      </c>
      <c r="M25" t="str" cm="1">
        <f t="array" ref="M25">_xlfn.IFS(I25=100,"Full Remote",I25=50,"Hybrid",I25=0,"On-Site")</f>
        <v>Hybrid</v>
      </c>
    </row>
    <row r="26" spans="1:13" x14ac:dyDescent="0.2">
      <c r="A26">
        <v>2021</v>
      </c>
      <c r="B26" t="s">
        <v>30</v>
      </c>
      <c r="C26" t="s">
        <v>12</v>
      </c>
      <c r="D26" t="s">
        <v>27</v>
      </c>
      <c r="E26">
        <v>40000</v>
      </c>
      <c r="F26" t="s">
        <v>14</v>
      </c>
      <c r="G26">
        <v>47681</v>
      </c>
      <c r="H26" t="s">
        <v>53</v>
      </c>
      <c r="I26">
        <v>100</v>
      </c>
      <c r="J26" t="s">
        <v>53</v>
      </c>
      <c r="K26" t="s">
        <v>28</v>
      </c>
      <c r="L26" t="str" cm="1">
        <f t="array" ref="L26">_xlfn.IFS(B26="EN","Entry Level",B26="MI","Mid Level",B26="SE","Senior Level",B26="EX","Expert Level")</f>
        <v>Mid Level</v>
      </c>
      <c r="M26" t="str" cm="1">
        <f t="array" ref="M26">_xlfn.IFS(I26=100,"Full Remote",I26=50,"Hybrid",I26=0,"On-Site")</f>
        <v>Full Remote</v>
      </c>
    </row>
    <row r="27" spans="1:13" x14ac:dyDescent="0.2">
      <c r="A27">
        <v>2021</v>
      </c>
      <c r="B27" t="s">
        <v>21</v>
      </c>
      <c r="C27" t="s">
        <v>12</v>
      </c>
      <c r="D27" t="s">
        <v>54</v>
      </c>
      <c r="E27">
        <v>130000</v>
      </c>
      <c r="F27" t="s">
        <v>14</v>
      </c>
      <c r="G27">
        <v>154963</v>
      </c>
      <c r="H27" t="s">
        <v>55</v>
      </c>
      <c r="I27">
        <v>100</v>
      </c>
      <c r="J27" t="s">
        <v>56</v>
      </c>
      <c r="K27" t="s">
        <v>16</v>
      </c>
      <c r="L27" t="str" cm="1">
        <f t="array" ref="L27">_xlfn.IFS(B27="EN","Entry Level",B27="MI","Mid Level",B27="SE","Senior Level",B27="EX","Expert Level")</f>
        <v>Expert Level</v>
      </c>
      <c r="M27" t="str" cm="1">
        <f t="array" ref="M27">_xlfn.IFS(I27=100,"Full Remote",I27=50,"Hybrid",I27=0,"On-Site")</f>
        <v>Full Remote</v>
      </c>
    </row>
    <row r="28" spans="1:13" x14ac:dyDescent="0.2">
      <c r="A28">
        <v>2021</v>
      </c>
      <c r="B28" t="s">
        <v>30</v>
      </c>
      <c r="C28" t="s">
        <v>12</v>
      </c>
      <c r="D28" t="s">
        <v>34</v>
      </c>
      <c r="E28">
        <v>110000</v>
      </c>
      <c r="F28" t="s">
        <v>57</v>
      </c>
      <c r="G28">
        <v>28801</v>
      </c>
      <c r="H28" t="s">
        <v>56</v>
      </c>
      <c r="I28">
        <v>100</v>
      </c>
      <c r="J28" t="s">
        <v>56</v>
      </c>
      <c r="K28" t="s">
        <v>16</v>
      </c>
      <c r="L28" t="str" cm="1">
        <f t="array" ref="L28">_xlfn.IFS(B28="EN","Entry Level",B28="MI","Mid Level",B28="SE","Senior Level",B28="EX","Expert Level")</f>
        <v>Mid Level</v>
      </c>
      <c r="M28" t="str" cm="1">
        <f t="array" ref="M28">_xlfn.IFS(I28=100,"Full Remote",I28=50,"Hybrid",I28=0,"On-Site")</f>
        <v>Full Remote</v>
      </c>
    </row>
    <row r="29" spans="1:13" x14ac:dyDescent="0.2">
      <c r="A29">
        <v>2021</v>
      </c>
      <c r="B29" t="s">
        <v>30</v>
      </c>
      <c r="C29" t="s">
        <v>12</v>
      </c>
      <c r="D29" t="s">
        <v>58</v>
      </c>
      <c r="E29">
        <v>110000</v>
      </c>
      <c r="F29" t="s">
        <v>23</v>
      </c>
      <c r="G29">
        <v>110000</v>
      </c>
      <c r="H29" t="s">
        <v>20</v>
      </c>
      <c r="I29">
        <v>100</v>
      </c>
      <c r="J29" t="s">
        <v>20</v>
      </c>
      <c r="K29" t="s">
        <v>16</v>
      </c>
      <c r="L29" t="str" cm="1">
        <f t="array" ref="L29">_xlfn.IFS(B29="EN","Entry Level",B29="MI","Mid Level",B29="SE","Senior Level",B29="EX","Expert Level")</f>
        <v>Mid Level</v>
      </c>
      <c r="M29" t="str" cm="1">
        <f t="array" ref="M29">_xlfn.IFS(I29=100,"Full Remote",I29=50,"Hybrid",I29=0,"On-Site")</f>
        <v>Full Remote</v>
      </c>
    </row>
    <row r="30" spans="1:13" x14ac:dyDescent="0.2">
      <c r="A30">
        <v>2021</v>
      </c>
      <c r="B30" t="s">
        <v>11</v>
      </c>
      <c r="C30" t="s">
        <v>12</v>
      </c>
      <c r="D30" t="s">
        <v>31</v>
      </c>
      <c r="E30">
        <v>60000</v>
      </c>
      <c r="F30" t="s">
        <v>59</v>
      </c>
      <c r="G30">
        <v>83000</v>
      </c>
      <c r="H30" t="s">
        <v>52</v>
      </c>
      <c r="I30">
        <v>50</v>
      </c>
      <c r="J30" t="s">
        <v>52</v>
      </c>
      <c r="K30" t="s">
        <v>16</v>
      </c>
      <c r="L30" t="str" cm="1">
        <f t="array" ref="L30">_xlfn.IFS(B30="EN","Entry Level",B30="MI","Mid Level",B30="SE","Senior Level",B30="EX","Expert Level")</f>
        <v>Entry Level</v>
      </c>
      <c r="M30" t="str" cm="1">
        <f t="array" ref="M30">_xlfn.IFS(I30=100,"Full Remote",I30=50,"Hybrid",I30=0,"On-Site")</f>
        <v>Hybrid</v>
      </c>
    </row>
    <row r="31" spans="1:13" x14ac:dyDescent="0.2">
      <c r="A31">
        <v>2020</v>
      </c>
      <c r="B31" t="s">
        <v>11</v>
      </c>
      <c r="C31" t="s">
        <v>12</v>
      </c>
      <c r="D31" t="s">
        <v>27</v>
      </c>
      <c r="E31">
        <v>250000</v>
      </c>
      <c r="F31" t="s">
        <v>23</v>
      </c>
      <c r="G31">
        <v>250000</v>
      </c>
      <c r="H31" t="s">
        <v>20</v>
      </c>
      <c r="I31">
        <v>50</v>
      </c>
      <c r="J31" t="s">
        <v>20</v>
      </c>
      <c r="K31" t="s">
        <v>16</v>
      </c>
      <c r="L31" t="str" cm="1">
        <f t="array" ref="L31">_xlfn.IFS(B31="EN","Entry Level",B31="MI","Mid Level",B31="SE","Senior Level",B31="EX","Expert Level")</f>
        <v>Entry Level</v>
      </c>
      <c r="M31" t="str" cm="1">
        <f t="array" ref="M31">_xlfn.IFS(I31=100,"Full Remote",I31=50,"Hybrid",I31=0,"On-Site")</f>
        <v>Hybrid</v>
      </c>
    </row>
    <row r="32" spans="1:13" x14ac:dyDescent="0.2">
      <c r="A32">
        <v>2021</v>
      </c>
      <c r="B32" t="s">
        <v>11</v>
      </c>
      <c r="C32" t="s">
        <v>12</v>
      </c>
      <c r="D32" t="s">
        <v>32</v>
      </c>
      <c r="E32">
        <v>50000</v>
      </c>
      <c r="F32" t="s">
        <v>14</v>
      </c>
      <c r="G32">
        <v>59601</v>
      </c>
      <c r="H32" t="s">
        <v>33</v>
      </c>
      <c r="I32">
        <v>50</v>
      </c>
      <c r="J32" t="s">
        <v>33</v>
      </c>
      <c r="K32" t="s">
        <v>25</v>
      </c>
      <c r="L32" t="str" cm="1">
        <f t="array" ref="L32">_xlfn.IFS(B32="EN","Entry Level",B32="MI","Mid Level",B32="SE","Senior Level",B32="EX","Expert Level")</f>
        <v>Entry Level</v>
      </c>
      <c r="M32" t="str" cm="1">
        <f t="array" ref="M32">_xlfn.IFS(I32=100,"Full Remote",I32=50,"Hybrid",I32=0,"On-Site")</f>
        <v>Hybrid</v>
      </c>
    </row>
    <row r="33" spans="1:13" x14ac:dyDescent="0.2">
      <c r="A33">
        <v>2021</v>
      </c>
      <c r="B33" t="s">
        <v>17</v>
      </c>
      <c r="C33" t="s">
        <v>12</v>
      </c>
      <c r="D33" t="s">
        <v>32</v>
      </c>
      <c r="E33">
        <v>80000</v>
      </c>
      <c r="F33" t="s">
        <v>23</v>
      </c>
      <c r="G33">
        <v>80000</v>
      </c>
      <c r="H33" t="s">
        <v>60</v>
      </c>
      <c r="I33">
        <v>100</v>
      </c>
      <c r="J33" t="s">
        <v>20</v>
      </c>
      <c r="K33" t="s">
        <v>28</v>
      </c>
      <c r="L33" t="str" cm="1">
        <f t="array" ref="L33">_xlfn.IFS(B33="EN","Entry Level",B33="MI","Mid Level",B33="SE","Senior Level",B33="EX","Expert Level")</f>
        <v>Senior Level</v>
      </c>
      <c r="M33" t="str" cm="1">
        <f t="array" ref="M33">_xlfn.IFS(I33=100,"Full Remote",I33=50,"Hybrid",I33=0,"On-Site")</f>
        <v>Full Remote</v>
      </c>
    </row>
    <row r="34" spans="1:13" x14ac:dyDescent="0.2">
      <c r="A34">
        <v>2020</v>
      </c>
      <c r="B34" t="s">
        <v>11</v>
      </c>
      <c r="C34" t="s">
        <v>12</v>
      </c>
      <c r="D34" t="s">
        <v>32</v>
      </c>
      <c r="E34">
        <v>10000</v>
      </c>
      <c r="F34" t="s">
        <v>23</v>
      </c>
      <c r="G34">
        <v>10000</v>
      </c>
      <c r="H34" t="s">
        <v>42</v>
      </c>
      <c r="I34">
        <v>100</v>
      </c>
      <c r="J34" t="s">
        <v>42</v>
      </c>
      <c r="K34" t="s">
        <v>28</v>
      </c>
      <c r="L34" t="str" cm="1">
        <f t="array" ref="L34">_xlfn.IFS(B34="EN","Entry Level",B34="MI","Mid Level",B34="SE","Senior Level",B34="EX","Expert Level")</f>
        <v>Entry Level</v>
      </c>
      <c r="M34" t="str" cm="1">
        <f t="array" ref="M34">_xlfn.IFS(I34=100,"Full Remote",I34=50,"Hybrid",I34=0,"On-Site")</f>
        <v>Full Remote</v>
      </c>
    </row>
    <row r="35" spans="1:13" x14ac:dyDescent="0.2">
      <c r="A35">
        <v>2020</v>
      </c>
      <c r="B35" t="s">
        <v>11</v>
      </c>
      <c r="C35" t="s">
        <v>12</v>
      </c>
      <c r="D35" t="s">
        <v>27</v>
      </c>
      <c r="E35">
        <v>138000</v>
      </c>
      <c r="F35" t="s">
        <v>23</v>
      </c>
      <c r="G35">
        <v>138000</v>
      </c>
      <c r="H35" t="s">
        <v>20</v>
      </c>
      <c r="I35">
        <v>100</v>
      </c>
      <c r="J35" t="s">
        <v>20</v>
      </c>
      <c r="K35" t="s">
        <v>28</v>
      </c>
      <c r="L35" t="str" cm="1">
        <f t="array" ref="L35">_xlfn.IFS(B35="EN","Entry Level",B35="MI","Mid Level",B35="SE","Senior Level",B35="EX","Expert Level")</f>
        <v>Entry Level</v>
      </c>
      <c r="M35" t="str" cm="1">
        <f t="array" ref="M35">_xlfn.IFS(I35=100,"Full Remote",I35=50,"Hybrid",I35=0,"On-Site")</f>
        <v>Full Remote</v>
      </c>
    </row>
    <row r="36" spans="1:13" x14ac:dyDescent="0.2">
      <c r="A36">
        <v>2021</v>
      </c>
      <c r="B36" t="s">
        <v>30</v>
      </c>
      <c r="C36" t="s">
        <v>12</v>
      </c>
      <c r="D36" t="s">
        <v>34</v>
      </c>
      <c r="E36">
        <v>140000</v>
      </c>
      <c r="F36" t="s">
        <v>23</v>
      </c>
      <c r="G36">
        <v>140000</v>
      </c>
      <c r="H36" t="s">
        <v>20</v>
      </c>
      <c r="I36">
        <v>100</v>
      </c>
      <c r="J36" t="s">
        <v>20</v>
      </c>
      <c r="K36" t="s">
        <v>16</v>
      </c>
      <c r="L36" t="str" cm="1">
        <f t="array" ref="L36">_xlfn.IFS(B36="EN","Entry Level",B36="MI","Mid Level",B36="SE","Senior Level",B36="EX","Expert Level")</f>
        <v>Mid Level</v>
      </c>
      <c r="M36" t="str" cm="1">
        <f t="array" ref="M36">_xlfn.IFS(I36=100,"Full Remote",I36=50,"Hybrid",I36=0,"On-Site")</f>
        <v>Full Remote</v>
      </c>
    </row>
    <row r="37" spans="1:13" x14ac:dyDescent="0.2">
      <c r="A37">
        <v>2021</v>
      </c>
      <c r="B37" t="s">
        <v>17</v>
      </c>
      <c r="C37" t="s">
        <v>12</v>
      </c>
      <c r="D37" t="s">
        <v>58</v>
      </c>
      <c r="E37">
        <v>67000</v>
      </c>
      <c r="F37" t="s">
        <v>14</v>
      </c>
      <c r="G37">
        <v>79866</v>
      </c>
      <c r="H37" t="s">
        <v>15</v>
      </c>
      <c r="I37">
        <v>100</v>
      </c>
      <c r="J37" t="s">
        <v>15</v>
      </c>
      <c r="K37" t="s">
        <v>16</v>
      </c>
      <c r="L37" t="str" cm="1">
        <f t="array" ref="L37">_xlfn.IFS(B37="EN","Entry Level",B37="MI","Mid Level",B37="SE","Senior Level",B37="EX","Expert Level")</f>
        <v>Senior Level</v>
      </c>
      <c r="M37" t="str" cm="1">
        <f t="array" ref="M37">_xlfn.IFS(I37=100,"Full Remote",I37=50,"Hybrid",I37=0,"On-Site")</f>
        <v>Full Remote</v>
      </c>
    </row>
    <row r="38" spans="1:13" x14ac:dyDescent="0.2">
      <c r="A38">
        <v>2021</v>
      </c>
      <c r="B38" t="s">
        <v>17</v>
      </c>
      <c r="C38" t="s">
        <v>12</v>
      </c>
      <c r="D38" t="s">
        <v>61</v>
      </c>
      <c r="E38">
        <v>170000</v>
      </c>
      <c r="F38" t="s">
        <v>23</v>
      </c>
      <c r="G38">
        <v>170000</v>
      </c>
      <c r="H38" t="s">
        <v>20</v>
      </c>
      <c r="I38">
        <v>100</v>
      </c>
      <c r="J38" t="s">
        <v>20</v>
      </c>
      <c r="K38" t="s">
        <v>16</v>
      </c>
      <c r="L38" t="str" cm="1">
        <f t="array" ref="L38">_xlfn.IFS(B38="EN","Entry Level",B38="MI","Mid Level",B38="SE","Senior Level",B38="EX","Expert Level")</f>
        <v>Senior Level</v>
      </c>
      <c r="M38" t="str" cm="1">
        <f t="array" ref="M38">_xlfn.IFS(I38=100,"Full Remote",I38=50,"Hybrid",I38=0,"On-Site")</f>
        <v>Full Remote</v>
      </c>
    </row>
    <row r="39" spans="1:13" x14ac:dyDescent="0.2">
      <c r="A39">
        <v>2021</v>
      </c>
      <c r="B39" t="s">
        <v>11</v>
      </c>
      <c r="C39" t="s">
        <v>12</v>
      </c>
      <c r="D39" t="s">
        <v>32</v>
      </c>
      <c r="E39">
        <v>80000</v>
      </c>
      <c r="F39" t="s">
        <v>23</v>
      </c>
      <c r="G39">
        <v>80000</v>
      </c>
      <c r="H39" t="s">
        <v>20</v>
      </c>
      <c r="I39">
        <v>100</v>
      </c>
      <c r="J39" t="s">
        <v>20</v>
      </c>
      <c r="K39" t="s">
        <v>25</v>
      </c>
      <c r="L39" t="str" cm="1">
        <f t="array" ref="L39">_xlfn.IFS(B39="EN","Entry Level",B39="MI","Mid Level",B39="SE","Senior Level",B39="EX","Expert Level")</f>
        <v>Entry Level</v>
      </c>
      <c r="M39" t="str" cm="1">
        <f t="array" ref="M39">_xlfn.IFS(I39=100,"Full Remote",I39=50,"Hybrid",I39=0,"On-Site")</f>
        <v>Full Remote</v>
      </c>
    </row>
    <row r="40" spans="1:13" x14ac:dyDescent="0.2">
      <c r="A40">
        <v>2020</v>
      </c>
      <c r="B40" t="s">
        <v>30</v>
      </c>
      <c r="C40" t="s">
        <v>12</v>
      </c>
      <c r="D40" t="s">
        <v>18</v>
      </c>
      <c r="E40">
        <v>45760</v>
      </c>
      <c r="F40" t="s">
        <v>23</v>
      </c>
      <c r="G40">
        <v>45760</v>
      </c>
      <c r="H40" t="s">
        <v>62</v>
      </c>
      <c r="I40">
        <v>100</v>
      </c>
      <c r="J40" t="s">
        <v>20</v>
      </c>
      <c r="K40" t="s">
        <v>28</v>
      </c>
      <c r="L40" t="str" cm="1">
        <f t="array" ref="L40">_xlfn.IFS(B40="EN","Entry Level",B40="MI","Mid Level",B40="SE","Senior Level",B40="EX","Expert Level")</f>
        <v>Mid Level</v>
      </c>
      <c r="M40" t="str" cm="1">
        <f t="array" ref="M40">_xlfn.IFS(I40=100,"Full Remote",I40=50,"Hybrid",I40=0,"On-Site")</f>
        <v>Full Remote</v>
      </c>
    </row>
    <row r="41" spans="1:13" x14ac:dyDescent="0.2">
      <c r="A41">
        <v>2021</v>
      </c>
      <c r="B41" t="s">
        <v>30</v>
      </c>
      <c r="C41" t="s">
        <v>12</v>
      </c>
      <c r="D41" t="s">
        <v>63</v>
      </c>
      <c r="E41">
        <v>100000</v>
      </c>
      <c r="F41" t="s">
        <v>23</v>
      </c>
      <c r="G41">
        <v>100000</v>
      </c>
      <c r="H41" t="s">
        <v>20</v>
      </c>
      <c r="I41">
        <v>100</v>
      </c>
      <c r="J41" t="s">
        <v>20</v>
      </c>
      <c r="K41" t="s">
        <v>25</v>
      </c>
      <c r="L41" t="str" cm="1">
        <f t="array" ref="L41">_xlfn.IFS(B41="EN","Entry Level",B41="MI","Mid Level",B41="SE","Senior Level",B41="EX","Expert Level")</f>
        <v>Mid Level</v>
      </c>
      <c r="M41" t="str" cm="1">
        <f t="array" ref="M41">_xlfn.IFS(I41=100,"Full Remote",I41=50,"Hybrid",I41=0,"On-Site")</f>
        <v>Full Remote</v>
      </c>
    </row>
    <row r="42" spans="1:13" x14ac:dyDescent="0.2">
      <c r="A42">
        <v>2021</v>
      </c>
      <c r="B42" t="s">
        <v>17</v>
      </c>
      <c r="C42" t="s">
        <v>12</v>
      </c>
      <c r="D42" t="s">
        <v>18</v>
      </c>
      <c r="E42">
        <v>45000</v>
      </c>
      <c r="F42" t="s">
        <v>14</v>
      </c>
      <c r="G42">
        <v>53641</v>
      </c>
      <c r="H42" t="s">
        <v>33</v>
      </c>
      <c r="I42">
        <v>50</v>
      </c>
      <c r="J42" t="s">
        <v>33</v>
      </c>
      <c r="K42" t="s">
        <v>16</v>
      </c>
      <c r="L42" t="str" cm="1">
        <f t="array" ref="L42">_xlfn.IFS(B42="EN","Entry Level",B42="MI","Mid Level",B42="SE","Senior Level",B42="EX","Expert Level")</f>
        <v>Senior Level</v>
      </c>
      <c r="M42" t="str" cm="1">
        <f t="array" ref="M42">_xlfn.IFS(I42=100,"Full Remote",I42=50,"Hybrid",I42=0,"On-Site")</f>
        <v>Hybrid</v>
      </c>
    </row>
    <row r="43" spans="1:13" x14ac:dyDescent="0.2">
      <c r="A43">
        <v>2021</v>
      </c>
      <c r="B43" t="s">
        <v>21</v>
      </c>
      <c r="C43" t="s">
        <v>12</v>
      </c>
      <c r="D43" t="s">
        <v>26</v>
      </c>
      <c r="E43">
        <v>235000</v>
      </c>
      <c r="F43" t="s">
        <v>23</v>
      </c>
      <c r="G43">
        <v>235000</v>
      </c>
      <c r="H43" t="s">
        <v>20</v>
      </c>
      <c r="I43">
        <v>100</v>
      </c>
      <c r="J43" t="s">
        <v>20</v>
      </c>
      <c r="K43" t="s">
        <v>16</v>
      </c>
      <c r="L43" t="str" cm="1">
        <f t="array" ref="L43">_xlfn.IFS(B43="EN","Entry Level",B43="MI","Mid Level",B43="SE","Senior Level",B43="EX","Expert Level")</f>
        <v>Expert Level</v>
      </c>
      <c r="M43" t="str" cm="1">
        <f t="array" ref="M43">_xlfn.IFS(I43=100,"Full Remote",I43=50,"Hybrid",I43=0,"On-Site")</f>
        <v>Full Remote</v>
      </c>
    </row>
    <row r="44" spans="1:13" x14ac:dyDescent="0.2">
      <c r="A44">
        <v>2021</v>
      </c>
      <c r="B44" t="s">
        <v>21</v>
      </c>
      <c r="C44" t="s">
        <v>12</v>
      </c>
      <c r="D44" t="s">
        <v>63</v>
      </c>
      <c r="E44">
        <v>150000</v>
      </c>
      <c r="F44" t="s">
        <v>23</v>
      </c>
      <c r="G44">
        <v>150000</v>
      </c>
      <c r="H44" t="s">
        <v>48</v>
      </c>
      <c r="I44">
        <v>100</v>
      </c>
      <c r="J44" t="s">
        <v>20</v>
      </c>
      <c r="K44" t="s">
        <v>16</v>
      </c>
      <c r="L44" t="str" cm="1">
        <f t="array" ref="L44">_xlfn.IFS(B44="EN","Entry Level",B44="MI","Mid Level",B44="SE","Senior Level",B44="EX","Expert Level")</f>
        <v>Expert Level</v>
      </c>
      <c r="M44" t="str" cm="1">
        <f t="array" ref="M44">_xlfn.IFS(I44=100,"Full Remote",I44=50,"Hybrid",I44=0,"On-Site")</f>
        <v>Full Remote</v>
      </c>
    </row>
    <row r="45" spans="1:13" x14ac:dyDescent="0.2">
      <c r="A45">
        <v>2020</v>
      </c>
      <c r="B45" t="s">
        <v>21</v>
      </c>
      <c r="C45" t="s">
        <v>12</v>
      </c>
      <c r="D45" t="s">
        <v>41</v>
      </c>
      <c r="E45">
        <v>70000</v>
      </c>
      <c r="F45" t="s">
        <v>14</v>
      </c>
      <c r="G45">
        <v>79833</v>
      </c>
      <c r="H45" t="s">
        <v>53</v>
      </c>
      <c r="I45">
        <v>50</v>
      </c>
      <c r="J45" t="s">
        <v>53</v>
      </c>
      <c r="K45" t="s">
        <v>16</v>
      </c>
      <c r="L45" t="str" cm="1">
        <f t="array" ref="L45">_xlfn.IFS(B45="EN","Entry Level",B45="MI","Mid Level",B45="SE","Senior Level",B45="EX","Expert Level")</f>
        <v>Expert Level</v>
      </c>
      <c r="M45" t="str" cm="1">
        <f t="array" ref="M45">_xlfn.IFS(I45=100,"Full Remote",I45=50,"Hybrid",I45=0,"On-Site")</f>
        <v>Hybrid</v>
      </c>
    </row>
    <row r="46" spans="1:13" x14ac:dyDescent="0.2">
      <c r="A46">
        <v>2021</v>
      </c>
      <c r="B46" t="s">
        <v>11</v>
      </c>
      <c r="C46" t="s">
        <v>12</v>
      </c>
      <c r="D46" t="s">
        <v>64</v>
      </c>
      <c r="E46">
        <v>225000</v>
      </c>
      <c r="F46" t="s">
        <v>23</v>
      </c>
      <c r="G46">
        <v>225000</v>
      </c>
      <c r="H46" t="s">
        <v>20</v>
      </c>
      <c r="I46">
        <v>100</v>
      </c>
      <c r="J46" t="s">
        <v>20</v>
      </c>
      <c r="K46" t="s">
        <v>16</v>
      </c>
      <c r="L46" t="str" cm="1">
        <f t="array" ref="L46">_xlfn.IFS(B46="EN","Entry Level",B46="MI","Mid Level",B46="SE","Senior Level",B46="EX","Expert Level")</f>
        <v>Entry Level</v>
      </c>
      <c r="M46" t="str" cm="1">
        <f t="array" ref="M46">_xlfn.IFS(I46=100,"Full Remote",I46=50,"Hybrid",I46=0,"On-Site")</f>
        <v>Full Remote</v>
      </c>
    </row>
    <row r="47" spans="1:13" x14ac:dyDescent="0.2">
      <c r="A47">
        <v>2021</v>
      </c>
      <c r="B47" t="s">
        <v>11</v>
      </c>
      <c r="C47" t="s">
        <v>12</v>
      </c>
      <c r="D47" t="s">
        <v>13</v>
      </c>
      <c r="E47">
        <v>65000</v>
      </c>
      <c r="F47" t="s">
        <v>14</v>
      </c>
      <c r="G47">
        <v>77481</v>
      </c>
      <c r="H47" t="s">
        <v>15</v>
      </c>
      <c r="I47">
        <v>100</v>
      </c>
      <c r="J47" t="s">
        <v>15</v>
      </c>
      <c r="K47" t="s">
        <v>28</v>
      </c>
      <c r="L47" t="str" cm="1">
        <f t="array" ref="L47">_xlfn.IFS(B47="EN","Entry Level",B47="MI","Mid Level",B47="SE","Senior Level",B47="EX","Expert Level")</f>
        <v>Entry Level</v>
      </c>
      <c r="M47" t="str" cm="1">
        <f t="array" ref="M47">_xlfn.IFS(I47=100,"Full Remote",I47=50,"Hybrid",I47=0,"On-Site")</f>
        <v>Full Remote</v>
      </c>
    </row>
    <row r="48" spans="1:13" x14ac:dyDescent="0.2">
      <c r="A48">
        <v>2020</v>
      </c>
      <c r="B48" t="s">
        <v>30</v>
      </c>
      <c r="C48" t="s">
        <v>12</v>
      </c>
      <c r="D48" t="s">
        <v>65</v>
      </c>
      <c r="E48">
        <v>44000</v>
      </c>
      <c r="F48" t="s">
        <v>14</v>
      </c>
      <c r="G48">
        <v>50180</v>
      </c>
      <c r="H48" t="s">
        <v>43</v>
      </c>
      <c r="I48">
        <v>0</v>
      </c>
      <c r="J48" t="s">
        <v>43</v>
      </c>
      <c r="K48" t="s">
        <v>25</v>
      </c>
      <c r="L48" t="str" cm="1">
        <f t="array" ref="L48">_xlfn.IFS(B48="EN","Entry Level",B48="MI","Mid Level",B48="SE","Senior Level",B48="EX","Expert Level")</f>
        <v>Mid Level</v>
      </c>
      <c r="M48" t="str" cm="1">
        <f t="array" ref="M48">_xlfn.IFS(I48=100,"Full Remote",I48=50,"Hybrid",I48=0,"On-Site")</f>
        <v>On-Site</v>
      </c>
    </row>
    <row r="49" spans="1:13" x14ac:dyDescent="0.2">
      <c r="A49">
        <v>2021</v>
      </c>
      <c r="B49" t="s">
        <v>17</v>
      </c>
      <c r="C49" t="s">
        <v>12</v>
      </c>
      <c r="D49" t="s">
        <v>66</v>
      </c>
      <c r="E49">
        <v>75000</v>
      </c>
      <c r="F49" t="s">
        <v>14</v>
      </c>
      <c r="G49">
        <v>89402</v>
      </c>
      <c r="H49" t="s">
        <v>19</v>
      </c>
      <c r="I49">
        <v>100</v>
      </c>
      <c r="J49" t="s">
        <v>67</v>
      </c>
      <c r="K49" t="s">
        <v>16</v>
      </c>
      <c r="L49" t="str" cm="1">
        <f t="array" ref="L49">_xlfn.IFS(B49="EN","Entry Level",B49="MI","Mid Level",B49="SE","Senior Level",B49="EX","Expert Level")</f>
        <v>Senior Level</v>
      </c>
      <c r="M49" t="str" cm="1">
        <f t="array" ref="M49">_xlfn.IFS(I49=100,"Full Remote",I49=50,"Hybrid",I49=0,"On-Site")</f>
        <v>Full Remote</v>
      </c>
    </row>
    <row r="50" spans="1:13" x14ac:dyDescent="0.2">
      <c r="A50">
        <v>2021</v>
      </c>
      <c r="B50" t="s">
        <v>17</v>
      </c>
      <c r="C50" t="s">
        <v>12</v>
      </c>
      <c r="D50" t="s">
        <v>68</v>
      </c>
      <c r="E50">
        <v>75000</v>
      </c>
      <c r="F50" t="s">
        <v>59</v>
      </c>
      <c r="G50">
        <v>103750</v>
      </c>
      <c r="H50" t="s">
        <v>52</v>
      </c>
      <c r="I50">
        <v>100</v>
      </c>
      <c r="J50" t="s">
        <v>52</v>
      </c>
      <c r="K50" t="s">
        <v>28</v>
      </c>
      <c r="L50" t="str" cm="1">
        <f t="array" ref="L50">_xlfn.IFS(B50="EN","Entry Level",B50="MI","Mid Level",B50="SE","Senior Level",B50="EX","Expert Level")</f>
        <v>Senior Level</v>
      </c>
      <c r="M50" t="str" cm="1">
        <f t="array" ref="M50">_xlfn.IFS(I50=100,"Full Remote",I50=50,"Hybrid",I50=0,"On-Site")</f>
        <v>Full Remote</v>
      </c>
    </row>
    <row r="51" spans="1:13" x14ac:dyDescent="0.2">
      <c r="A51">
        <v>2021</v>
      </c>
      <c r="B51" t="s">
        <v>17</v>
      </c>
      <c r="C51" t="s">
        <v>12</v>
      </c>
      <c r="D51" t="s">
        <v>69</v>
      </c>
      <c r="E51">
        <v>82500</v>
      </c>
      <c r="F51" t="s">
        <v>59</v>
      </c>
      <c r="G51">
        <v>114125</v>
      </c>
      <c r="H51" t="s">
        <v>52</v>
      </c>
      <c r="I51">
        <v>100</v>
      </c>
      <c r="J51" t="s">
        <v>52</v>
      </c>
      <c r="K51" t="s">
        <v>25</v>
      </c>
      <c r="L51" t="str" cm="1">
        <f t="array" ref="L51">_xlfn.IFS(B51="EN","Entry Level",B51="MI","Mid Level",B51="SE","Senior Level",B51="EX","Expert Level")</f>
        <v>Senior Level</v>
      </c>
      <c r="M51" t="str" cm="1">
        <f t="array" ref="M51">_xlfn.IFS(I51=100,"Full Remote",I51=50,"Hybrid",I51=0,"On-Site")</f>
        <v>Full Remote</v>
      </c>
    </row>
    <row r="52" spans="1:13" x14ac:dyDescent="0.2">
      <c r="A52">
        <v>2021</v>
      </c>
      <c r="B52" t="s">
        <v>17</v>
      </c>
      <c r="C52" t="s">
        <v>12</v>
      </c>
      <c r="D52" t="s">
        <v>27</v>
      </c>
      <c r="E52">
        <v>80000</v>
      </c>
      <c r="F52" t="s">
        <v>14</v>
      </c>
      <c r="G52">
        <v>95362</v>
      </c>
      <c r="H52" t="s">
        <v>15</v>
      </c>
      <c r="I52">
        <v>50</v>
      </c>
      <c r="J52" t="s">
        <v>15</v>
      </c>
      <c r="K52" t="s">
        <v>16</v>
      </c>
      <c r="L52" t="str" cm="1">
        <f t="array" ref="L52">_xlfn.IFS(B52="EN","Entry Level",B52="MI","Mid Level",B52="SE","Senior Level",B52="EX","Expert Level")</f>
        <v>Senior Level</v>
      </c>
      <c r="M52" t="str" cm="1">
        <f t="array" ref="M52">_xlfn.IFS(I52=100,"Full Remote",I52=50,"Hybrid",I52=0,"On-Site")</f>
        <v>Hybrid</v>
      </c>
    </row>
    <row r="53" spans="1:13" x14ac:dyDescent="0.2">
      <c r="A53">
        <v>2021</v>
      </c>
      <c r="B53" t="s">
        <v>11</v>
      </c>
      <c r="C53" t="s">
        <v>12</v>
      </c>
      <c r="D53" t="s">
        <v>34</v>
      </c>
      <c r="E53">
        <v>2250000</v>
      </c>
      <c r="F53" t="s">
        <v>47</v>
      </c>
      <c r="G53">
        <v>30509</v>
      </c>
      <c r="H53" t="s">
        <v>48</v>
      </c>
      <c r="I53">
        <v>100</v>
      </c>
      <c r="J53" t="s">
        <v>48</v>
      </c>
      <c r="K53" t="s">
        <v>16</v>
      </c>
      <c r="L53" t="str" cm="1">
        <f t="array" ref="L53">_xlfn.IFS(B53="EN","Entry Level",B53="MI","Mid Level",B53="SE","Senior Level",B53="EX","Expert Level")</f>
        <v>Entry Level</v>
      </c>
      <c r="M53" t="str" cm="1">
        <f t="array" ref="M53">_xlfn.IFS(I53=100,"Full Remote",I53=50,"Hybrid",I53=0,"On-Site")</f>
        <v>Full Remote</v>
      </c>
    </row>
    <row r="54" spans="1:13" x14ac:dyDescent="0.2">
      <c r="A54">
        <v>2021</v>
      </c>
      <c r="B54" t="s">
        <v>17</v>
      </c>
      <c r="C54" t="s">
        <v>12</v>
      </c>
      <c r="D54" t="s">
        <v>34</v>
      </c>
      <c r="E54">
        <v>150000</v>
      </c>
      <c r="F54" t="s">
        <v>23</v>
      </c>
      <c r="G54">
        <v>150000</v>
      </c>
      <c r="H54" t="s">
        <v>20</v>
      </c>
      <c r="I54">
        <v>100</v>
      </c>
      <c r="J54" t="s">
        <v>20</v>
      </c>
      <c r="K54" t="s">
        <v>25</v>
      </c>
      <c r="L54" t="str" cm="1">
        <f t="array" ref="L54">_xlfn.IFS(B54="EN","Entry Level",B54="MI","Mid Level",B54="SE","Senior Level",B54="EX","Expert Level")</f>
        <v>Senior Level</v>
      </c>
      <c r="M54" t="str" cm="1">
        <f t="array" ref="M54">_xlfn.IFS(I54=100,"Full Remote",I54=50,"Hybrid",I54=0,"On-Site")</f>
        <v>Full Remote</v>
      </c>
    </row>
    <row r="55" spans="1:13" x14ac:dyDescent="0.2">
      <c r="A55">
        <v>2021</v>
      </c>
      <c r="B55" t="s">
        <v>17</v>
      </c>
      <c r="C55" t="s">
        <v>12</v>
      </c>
      <c r="D55" t="s">
        <v>34</v>
      </c>
      <c r="E55">
        <v>115000</v>
      </c>
      <c r="F55" t="s">
        <v>23</v>
      </c>
      <c r="G55">
        <v>115000</v>
      </c>
      <c r="H55" t="s">
        <v>20</v>
      </c>
      <c r="I55">
        <v>100</v>
      </c>
      <c r="J55" t="s">
        <v>20</v>
      </c>
      <c r="K55" t="s">
        <v>28</v>
      </c>
      <c r="L55" t="str" cm="1">
        <f t="array" ref="L55">_xlfn.IFS(B55="EN","Entry Level",B55="MI","Mid Level",B55="SE","Senior Level",B55="EX","Expert Level")</f>
        <v>Senior Level</v>
      </c>
      <c r="M55" t="str" cm="1">
        <f t="array" ref="M55">_xlfn.IFS(I55=100,"Full Remote",I55=50,"Hybrid",I55=0,"On-Site")</f>
        <v>Full Remote</v>
      </c>
    </row>
    <row r="56" spans="1:13" x14ac:dyDescent="0.2">
      <c r="A56">
        <v>2021</v>
      </c>
      <c r="B56" t="s">
        <v>30</v>
      </c>
      <c r="C56" t="s">
        <v>12</v>
      </c>
      <c r="D56" t="s">
        <v>31</v>
      </c>
      <c r="E56">
        <v>235000</v>
      </c>
      <c r="F56" t="s">
        <v>37</v>
      </c>
      <c r="G56">
        <v>187917</v>
      </c>
      <c r="H56" t="s">
        <v>38</v>
      </c>
      <c r="I56">
        <v>100</v>
      </c>
      <c r="J56" t="s">
        <v>38</v>
      </c>
      <c r="K56" t="s">
        <v>16</v>
      </c>
      <c r="L56" t="str" cm="1">
        <f t="array" ref="L56">_xlfn.IFS(B56="EN","Entry Level",B56="MI","Mid Level",B56="SE","Senior Level",B56="EX","Expert Level")</f>
        <v>Mid Level</v>
      </c>
      <c r="M56" t="str" cm="1">
        <f t="array" ref="M56">_xlfn.IFS(I56=100,"Full Remote",I56=50,"Hybrid",I56=0,"On-Site")</f>
        <v>Full Remote</v>
      </c>
    </row>
    <row r="57" spans="1:13" x14ac:dyDescent="0.2">
      <c r="A57">
        <v>2021</v>
      </c>
      <c r="B57" t="s">
        <v>30</v>
      </c>
      <c r="C57" t="s">
        <v>12</v>
      </c>
      <c r="D57" t="s">
        <v>32</v>
      </c>
      <c r="E57">
        <v>37456</v>
      </c>
      <c r="F57" t="s">
        <v>59</v>
      </c>
      <c r="G57">
        <v>51814</v>
      </c>
      <c r="H57" t="s">
        <v>52</v>
      </c>
      <c r="I57">
        <v>50</v>
      </c>
      <c r="J57" t="s">
        <v>52</v>
      </c>
      <c r="K57" t="s">
        <v>16</v>
      </c>
      <c r="L57" t="str" cm="1">
        <f t="array" ref="L57">_xlfn.IFS(B57="EN","Entry Level",B57="MI","Mid Level",B57="SE","Senior Level",B57="EX","Expert Level")</f>
        <v>Mid Level</v>
      </c>
      <c r="M57" t="str" cm="1">
        <f t="array" ref="M57">_xlfn.IFS(I57=100,"Full Remote",I57=50,"Hybrid",I57=0,"On-Site")</f>
        <v>Hybrid</v>
      </c>
    </row>
    <row r="58" spans="1:13" x14ac:dyDescent="0.2">
      <c r="A58">
        <v>2020</v>
      </c>
      <c r="B58" t="s">
        <v>30</v>
      </c>
      <c r="C58" t="s">
        <v>12</v>
      </c>
      <c r="D58" t="s">
        <v>34</v>
      </c>
      <c r="E58">
        <v>106000</v>
      </c>
      <c r="F58" t="s">
        <v>23</v>
      </c>
      <c r="G58">
        <v>106000</v>
      </c>
      <c r="H58" t="s">
        <v>20</v>
      </c>
      <c r="I58">
        <v>100</v>
      </c>
      <c r="J58" t="s">
        <v>20</v>
      </c>
      <c r="K58" t="s">
        <v>16</v>
      </c>
      <c r="L58" t="str" cm="1">
        <f t="array" ref="L58">_xlfn.IFS(B58="EN","Entry Level",B58="MI","Mid Level",B58="SE","Senior Level",B58="EX","Expert Level")</f>
        <v>Mid Level</v>
      </c>
      <c r="M58" t="str" cm="1">
        <f t="array" ref="M58">_xlfn.IFS(I58=100,"Full Remote",I58=50,"Hybrid",I58=0,"On-Site")</f>
        <v>Full Remote</v>
      </c>
    </row>
    <row r="59" spans="1:13" x14ac:dyDescent="0.2">
      <c r="A59">
        <v>2020</v>
      </c>
      <c r="B59" t="s">
        <v>30</v>
      </c>
      <c r="C59" t="s">
        <v>12</v>
      </c>
      <c r="D59" t="s">
        <v>34</v>
      </c>
      <c r="E59">
        <v>88000</v>
      </c>
      <c r="F59" t="s">
        <v>59</v>
      </c>
      <c r="G59">
        <v>112872</v>
      </c>
      <c r="H59" t="s">
        <v>52</v>
      </c>
      <c r="I59">
        <v>50</v>
      </c>
      <c r="J59" t="s">
        <v>52</v>
      </c>
      <c r="K59" t="s">
        <v>16</v>
      </c>
      <c r="L59" t="str" cm="1">
        <f t="array" ref="L59">_xlfn.IFS(B59="EN","Entry Level",B59="MI","Mid Level",B59="SE","Senior Level",B59="EX","Expert Level")</f>
        <v>Mid Level</v>
      </c>
      <c r="M59" t="str" cm="1">
        <f t="array" ref="M59">_xlfn.IFS(I59=100,"Full Remote",I59=50,"Hybrid",I59=0,"On-Site")</f>
        <v>Hybrid</v>
      </c>
    </row>
    <row r="60" spans="1:13" x14ac:dyDescent="0.2">
      <c r="A60">
        <v>2021</v>
      </c>
      <c r="B60" t="s">
        <v>30</v>
      </c>
      <c r="C60" t="s">
        <v>12</v>
      </c>
      <c r="D60" t="s">
        <v>63</v>
      </c>
      <c r="E60">
        <v>11000000</v>
      </c>
      <c r="F60" t="s">
        <v>70</v>
      </c>
      <c r="G60">
        <v>36732</v>
      </c>
      <c r="H60" t="s">
        <v>71</v>
      </c>
      <c r="I60">
        <v>50</v>
      </c>
      <c r="J60" t="s">
        <v>20</v>
      </c>
      <c r="K60" t="s">
        <v>16</v>
      </c>
      <c r="L60" t="str" cm="1">
        <f t="array" ref="L60">_xlfn.IFS(B60="EN","Entry Level",B60="MI","Mid Level",B60="SE","Senior Level",B60="EX","Expert Level")</f>
        <v>Mid Level</v>
      </c>
      <c r="M60" t="str" cm="1">
        <f t="array" ref="M60">_xlfn.IFS(I60=100,"Full Remote",I60=50,"Hybrid",I60=0,"On-Site")</f>
        <v>Hybrid</v>
      </c>
    </row>
    <row r="61" spans="1:13" x14ac:dyDescent="0.2">
      <c r="A61">
        <v>2021</v>
      </c>
      <c r="B61" t="s">
        <v>17</v>
      </c>
      <c r="C61" t="s">
        <v>12</v>
      </c>
      <c r="D61" t="s">
        <v>34</v>
      </c>
      <c r="E61">
        <v>150000</v>
      </c>
      <c r="F61" t="s">
        <v>23</v>
      </c>
      <c r="G61">
        <v>150000</v>
      </c>
      <c r="H61" t="s">
        <v>20</v>
      </c>
      <c r="I61">
        <v>100</v>
      </c>
      <c r="J61" t="s">
        <v>20</v>
      </c>
      <c r="K61" t="s">
        <v>16</v>
      </c>
      <c r="L61" t="str" cm="1">
        <f t="array" ref="L61">_xlfn.IFS(B61="EN","Entry Level",B61="MI","Mid Level",B61="SE","Senior Level",B61="EX","Expert Level")</f>
        <v>Senior Level</v>
      </c>
      <c r="M61" t="str" cm="1">
        <f t="array" ref="M61">_xlfn.IFS(I61=100,"Full Remote",I61=50,"Hybrid",I61=0,"On-Site")</f>
        <v>Full Remote</v>
      </c>
    </row>
    <row r="62" spans="1:13" x14ac:dyDescent="0.2">
      <c r="A62">
        <v>2020</v>
      </c>
      <c r="B62" t="s">
        <v>11</v>
      </c>
      <c r="C62" t="s">
        <v>43</v>
      </c>
      <c r="D62" t="s">
        <v>50</v>
      </c>
      <c r="E62">
        <v>14000</v>
      </c>
      <c r="F62" t="s">
        <v>14</v>
      </c>
      <c r="G62">
        <v>15966</v>
      </c>
      <c r="H62" t="s">
        <v>15</v>
      </c>
      <c r="I62">
        <v>100</v>
      </c>
      <c r="J62" t="s">
        <v>15</v>
      </c>
      <c r="K62" t="s">
        <v>28</v>
      </c>
      <c r="L62" t="str" cm="1">
        <f t="array" ref="L62">_xlfn.IFS(B62="EN","Entry Level",B62="MI","Mid Level",B62="SE","Senior Level",B62="EX","Expert Level")</f>
        <v>Entry Level</v>
      </c>
      <c r="M62" t="str" cm="1">
        <f t="array" ref="M62">_xlfn.IFS(I62=100,"Full Remote",I62=50,"Hybrid",I62=0,"On-Site")</f>
        <v>Full Remote</v>
      </c>
    </row>
    <row r="63" spans="1:13" x14ac:dyDescent="0.2">
      <c r="A63">
        <v>2021</v>
      </c>
      <c r="B63" t="s">
        <v>30</v>
      </c>
      <c r="C63" t="s">
        <v>12</v>
      </c>
      <c r="D63" t="s">
        <v>72</v>
      </c>
      <c r="E63">
        <v>81000</v>
      </c>
      <c r="F63" t="s">
        <v>14</v>
      </c>
      <c r="G63">
        <v>96554</v>
      </c>
      <c r="H63" t="s">
        <v>15</v>
      </c>
      <c r="I63">
        <v>100</v>
      </c>
      <c r="J63" t="s">
        <v>20</v>
      </c>
      <c r="K63" t="s">
        <v>28</v>
      </c>
      <c r="L63" t="str" cm="1">
        <f t="array" ref="L63">_xlfn.IFS(B63="EN","Entry Level",B63="MI","Mid Level",B63="SE","Senior Level",B63="EX","Expert Level")</f>
        <v>Mid Level</v>
      </c>
      <c r="M63" t="str" cm="1">
        <f t="array" ref="M63">_xlfn.IFS(I63=100,"Full Remote",I63=50,"Hybrid",I63=0,"On-Site")</f>
        <v>Full Remote</v>
      </c>
    </row>
    <row r="64" spans="1:13" x14ac:dyDescent="0.2">
      <c r="A64">
        <v>2021</v>
      </c>
      <c r="B64" t="s">
        <v>11</v>
      </c>
      <c r="C64" t="s">
        <v>12</v>
      </c>
      <c r="D64" t="s">
        <v>72</v>
      </c>
      <c r="E64">
        <v>70000</v>
      </c>
      <c r="F64" t="s">
        <v>23</v>
      </c>
      <c r="G64">
        <v>70000</v>
      </c>
      <c r="H64" t="s">
        <v>20</v>
      </c>
      <c r="I64">
        <v>100</v>
      </c>
      <c r="J64" t="s">
        <v>20</v>
      </c>
      <c r="K64" t="s">
        <v>25</v>
      </c>
      <c r="L64" t="str" cm="1">
        <f t="array" ref="L64">_xlfn.IFS(B64="EN","Entry Level",B64="MI","Mid Level",B64="SE","Senior Level",B64="EX","Expert Level")</f>
        <v>Entry Level</v>
      </c>
      <c r="M64" t="str" cm="1">
        <f t="array" ref="M64">_xlfn.IFS(I64=100,"Full Remote",I64=50,"Hybrid",I64=0,"On-Site")</f>
        <v>Full Remote</v>
      </c>
    </row>
    <row r="65" spans="1:13" x14ac:dyDescent="0.2">
      <c r="A65">
        <v>2021</v>
      </c>
      <c r="B65" t="s">
        <v>30</v>
      </c>
      <c r="C65" t="s">
        <v>12</v>
      </c>
      <c r="D65" t="s">
        <v>73</v>
      </c>
      <c r="E65">
        <v>450000</v>
      </c>
      <c r="F65" t="s">
        <v>23</v>
      </c>
      <c r="G65">
        <v>450000</v>
      </c>
      <c r="H65" t="s">
        <v>20</v>
      </c>
      <c r="I65">
        <v>100</v>
      </c>
      <c r="J65" t="s">
        <v>20</v>
      </c>
      <c r="K65" t="s">
        <v>16</v>
      </c>
      <c r="L65" t="str" cm="1">
        <f t="array" ref="L65">_xlfn.IFS(B65="EN","Entry Level",B65="MI","Mid Level",B65="SE","Senior Level",B65="EX","Expert Level")</f>
        <v>Mid Level</v>
      </c>
      <c r="M65" t="str" cm="1">
        <f t="array" ref="M65">_xlfn.IFS(I65=100,"Full Remote",I65=50,"Hybrid",I65=0,"On-Site")</f>
        <v>Full Remote</v>
      </c>
    </row>
    <row r="66" spans="1:13" x14ac:dyDescent="0.2">
      <c r="A66">
        <v>2020</v>
      </c>
      <c r="B66" t="s">
        <v>30</v>
      </c>
      <c r="C66" t="s">
        <v>12</v>
      </c>
      <c r="D66" t="s">
        <v>18</v>
      </c>
      <c r="E66">
        <v>60000</v>
      </c>
      <c r="F66" t="s">
        <v>59</v>
      </c>
      <c r="G66">
        <v>76958</v>
      </c>
      <c r="H66" t="s">
        <v>52</v>
      </c>
      <c r="I66">
        <v>100</v>
      </c>
      <c r="J66" t="s">
        <v>52</v>
      </c>
      <c r="K66" t="s">
        <v>28</v>
      </c>
      <c r="L66" t="str" cm="1">
        <f t="array" ref="L66">_xlfn.IFS(B66="EN","Entry Level",B66="MI","Mid Level",B66="SE","Senior Level",B66="EX","Expert Level")</f>
        <v>Mid Level</v>
      </c>
      <c r="M66" t="str" cm="1">
        <f t="array" ref="M66">_xlfn.IFS(I66=100,"Full Remote",I66=50,"Hybrid",I66=0,"On-Site")</f>
        <v>Full Remote</v>
      </c>
    </row>
    <row r="67" spans="1:13" x14ac:dyDescent="0.2">
      <c r="A67">
        <v>2021</v>
      </c>
      <c r="B67" t="s">
        <v>30</v>
      </c>
      <c r="C67" t="s">
        <v>12</v>
      </c>
      <c r="D67" t="s">
        <v>74</v>
      </c>
      <c r="E67">
        <v>120000</v>
      </c>
      <c r="F67" t="s">
        <v>75</v>
      </c>
      <c r="G67">
        <v>89514</v>
      </c>
      <c r="H67" t="s">
        <v>76</v>
      </c>
      <c r="I67">
        <v>50</v>
      </c>
      <c r="J67" t="s">
        <v>76</v>
      </c>
      <c r="K67" t="s">
        <v>16</v>
      </c>
      <c r="L67" t="str" cm="1">
        <f t="array" ref="L67">_xlfn.IFS(B67="EN","Entry Level",B67="MI","Mid Level",B67="SE","Senior Level",B67="EX","Expert Level")</f>
        <v>Mid Level</v>
      </c>
      <c r="M67" t="str" cm="1">
        <f t="array" ref="M67">_xlfn.IFS(I67=100,"Full Remote",I67=50,"Hybrid",I67=0,"On-Site")</f>
        <v>Hybrid</v>
      </c>
    </row>
    <row r="68" spans="1:13" x14ac:dyDescent="0.2">
      <c r="A68">
        <v>2021</v>
      </c>
      <c r="B68" t="s">
        <v>11</v>
      </c>
      <c r="C68" t="s">
        <v>12</v>
      </c>
      <c r="D68" t="s">
        <v>18</v>
      </c>
      <c r="E68">
        <v>2200000</v>
      </c>
      <c r="F68" t="s">
        <v>47</v>
      </c>
      <c r="G68">
        <v>29831</v>
      </c>
      <c r="H68" t="s">
        <v>48</v>
      </c>
      <c r="I68">
        <v>50</v>
      </c>
      <c r="J68" t="s">
        <v>48</v>
      </c>
      <c r="K68" t="s">
        <v>16</v>
      </c>
      <c r="L68" t="str" cm="1">
        <f t="array" ref="L68">_xlfn.IFS(B68="EN","Entry Level",B68="MI","Mid Level",B68="SE","Senior Level",B68="EX","Expert Level")</f>
        <v>Entry Level</v>
      </c>
      <c r="M68" t="str" cm="1">
        <f t="array" ref="M68">_xlfn.IFS(I68=100,"Full Remote",I68=50,"Hybrid",I68=0,"On-Site")</f>
        <v>Hybrid</v>
      </c>
    </row>
    <row r="69" spans="1:13" x14ac:dyDescent="0.2">
      <c r="A69">
        <v>2021</v>
      </c>
      <c r="B69" t="s">
        <v>17</v>
      </c>
      <c r="C69" t="s">
        <v>12</v>
      </c>
      <c r="D69" t="s">
        <v>68</v>
      </c>
      <c r="E69">
        <v>276000</v>
      </c>
      <c r="F69" t="s">
        <v>23</v>
      </c>
      <c r="G69">
        <v>276000</v>
      </c>
      <c r="H69" t="s">
        <v>20</v>
      </c>
      <c r="I69">
        <v>0</v>
      </c>
      <c r="J69" t="s">
        <v>20</v>
      </c>
      <c r="K69" t="s">
        <v>16</v>
      </c>
      <c r="L69" t="str" cm="1">
        <f t="array" ref="L69">_xlfn.IFS(B69="EN","Entry Level",B69="MI","Mid Level",B69="SE","Senior Level",B69="EX","Expert Level")</f>
        <v>Senior Level</v>
      </c>
      <c r="M69" t="str" cm="1">
        <f t="array" ref="M69">_xlfn.IFS(I69=100,"Full Remote",I69=50,"Hybrid",I69=0,"On-Site")</f>
        <v>On-Site</v>
      </c>
    </row>
    <row r="70" spans="1:13" x14ac:dyDescent="0.2">
      <c r="A70">
        <v>2020</v>
      </c>
      <c r="B70" t="s">
        <v>17</v>
      </c>
      <c r="C70" t="s">
        <v>12</v>
      </c>
      <c r="D70" t="s">
        <v>34</v>
      </c>
      <c r="E70">
        <v>188000</v>
      </c>
      <c r="F70" t="s">
        <v>23</v>
      </c>
      <c r="G70">
        <v>188000</v>
      </c>
      <c r="H70" t="s">
        <v>20</v>
      </c>
      <c r="I70">
        <v>100</v>
      </c>
      <c r="J70" t="s">
        <v>20</v>
      </c>
      <c r="K70" t="s">
        <v>16</v>
      </c>
      <c r="L70" t="str" cm="1">
        <f t="array" ref="L70">_xlfn.IFS(B70="EN","Entry Level",B70="MI","Mid Level",B70="SE","Senior Level",B70="EX","Expert Level")</f>
        <v>Senior Level</v>
      </c>
      <c r="M70" t="str" cm="1">
        <f t="array" ref="M70">_xlfn.IFS(I70=100,"Full Remote",I70=50,"Hybrid",I70=0,"On-Site")</f>
        <v>Full Remote</v>
      </c>
    </row>
    <row r="71" spans="1:13" x14ac:dyDescent="0.2">
      <c r="A71">
        <v>2021</v>
      </c>
      <c r="B71" t="s">
        <v>17</v>
      </c>
      <c r="C71" t="s">
        <v>12</v>
      </c>
      <c r="D71" t="s">
        <v>74</v>
      </c>
      <c r="E71">
        <v>160000</v>
      </c>
      <c r="F71" t="s">
        <v>23</v>
      </c>
      <c r="G71">
        <v>160000</v>
      </c>
      <c r="H71" t="s">
        <v>77</v>
      </c>
      <c r="I71">
        <v>100</v>
      </c>
      <c r="J71" t="s">
        <v>20</v>
      </c>
      <c r="K71" t="s">
        <v>28</v>
      </c>
      <c r="L71" t="str" cm="1">
        <f t="array" ref="L71">_xlfn.IFS(B71="EN","Entry Level",B71="MI","Mid Level",B71="SE","Senior Level",B71="EX","Expert Level")</f>
        <v>Senior Level</v>
      </c>
      <c r="M71" t="str" cm="1">
        <f t="array" ref="M71">_xlfn.IFS(I71=100,"Full Remote",I71=50,"Hybrid",I71=0,"On-Site")</f>
        <v>Full Remote</v>
      </c>
    </row>
    <row r="72" spans="1:13" x14ac:dyDescent="0.2">
      <c r="A72">
        <v>2020</v>
      </c>
      <c r="B72" t="s">
        <v>30</v>
      </c>
      <c r="C72" t="s">
        <v>12</v>
      </c>
      <c r="D72" t="s">
        <v>18</v>
      </c>
      <c r="E72">
        <v>105000</v>
      </c>
      <c r="F72" t="s">
        <v>23</v>
      </c>
      <c r="G72">
        <v>105000</v>
      </c>
      <c r="H72" t="s">
        <v>20</v>
      </c>
      <c r="I72">
        <v>100</v>
      </c>
      <c r="J72" t="s">
        <v>20</v>
      </c>
      <c r="K72" t="s">
        <v>16</v>
      </c>
      <c r="L72" t="str" cm="1">
        <f t="array" ref="L72">_xlfn.IFS(B72="EN","Entry Level",B72="MI","Mid Level",B72="SE","Senior Level",B72="EX","Expert Level")</f>
        <v>Mid Level</v>
      </c>
      <c r="M72" t="str" cm="1">
        <f t="array" ref="M72">_xlfn.IFS(I72=100,"Full Remote",I72=50,"Hybrid",I72=0,"On-Site")</f>
        <v>Full Remote</v>
      </c>
    </row>
    <row r="73" spans="1:13" x14ac:dyDescent="0.2">
      <c r="A73">
        <v>2021</v>
      </c>
      <c r="B73" t="s">
        <v>30</v>
      </c>
      <c r="C73" t="s">
        <v>12</v>
      </c>
      <c r="D73" t="s">
        <v>34</v>
      </c>
      <c r="E73">
        <v>200000</v>
      </c>
      <c r="F73" t="s">
        <v>23</v>
      </c>
      <c r="G73">
        <v>200000</v>
      </c>
      <c r="H73" t="s">
        <v>20</v>
      </c>
      <c r="I73">
        <v>100</v>
      </c>
      <c r="J73" t="s">
        <v>20</v>
      </c>
      <c r="K73" t="s">
        <v>16</v>
      </c>
      <c r="L73" t="str" cm="1">
        <f t="array" ref="L73">_xlfn.IFS(B73="EN","Entry Level",B73="MI","Mid Level",B73="SE","Senior Level",B73="EX","Expert Level")</f>
        <v>Mid Level</v>
      </c>
      <c r="M73" t="str" cm="1">
        <f t="array" ref="M73">_xlfn.IFS(I73=100,"Full Remote",I73=50,"Hybrid",I73=0,"On-Site")</f>
        <v>Full Remote</v>
      </c>
    </row>
    <row r="74" spans="1:13" x14ac:dyDescent="0.2">
      <c r="A74">
        <v>2021</v>
      </c>
      <c r="B74" t="s">
        <v>17</v>
      </c>
      <c r="C74" t="s">
        <v>12</v>
      </c>
      <c r="D74" t="s">
        <v>41</v>
      </c>
      <c r="E74">
        <v>174000</v>
      </c>
      <c r="F74" t="s">
        <v>23</v>
      </c>
      <c r="G74">
        <v>174000</v>
      </c>
      <c r="H74" t="s">
        <v>20</v>
      </c>
      <c r="I74">
        <v>100</v>
      </c>
      <c r="J74" t="s">
        <v>20</v>
      </c>
      <c r="K74" t="s">
        <v>16</v>
      </c>
      <c r="L74" t="str" cm="1">
        <f t="array" ref="L74">_xlfn.IFS(B74="EN","Entry Level",B74="MI","Mid Level",B74="SE","Senior Level",B74="EX","Expert Level")</f>
        <v>Senior Level</v>
      </c>
      <c r="M74" t="str" cm="1">
        <f t="array" ref="M74">_xlfn.IFS(I74=100,"Full Remote",I74=50,"Hybrid",I74=0,"On-Site")</f>
        <v>Full Remote</v>
      </c>
    </row>
    <row r="75" spans="1:13" x14ac:dyDescent="0.2">
      <c r="A75">
        <v>2021</v>
      </c>
      <c r="B75" t="s">
        <v>30</v>
      </c>
      <c r="C75" t="s">
        <v>12</v>
      </c>
      <c r="D75" t="s">
        <v>32</v>
      </c>
      <c r="E75">
        <v>93000</v>
      </c>
      <c r="F75" t="s">
        <v>23</v>
      </c>
      <c r="G75">
        <v>93000</v>
      </c>
      <c r="H75" t="s">
        <v>20</v>
      </c>
      <c r="I75">
        <v>100</v>
      </c>
      <c r="J75" t="s">
        <v>20</v>
      </c>
      <c r="K75" t="s">
        <v>16</v>
      </c>
      <c r="L75" t="str" cm="1">
        <f t="array" ref="L75">_xlfn.IFS(B75="EN","Entry Level",B75="MI","Mid Level",B75="SE","Senior Level",B75="EX","Expert Level")</f>
        <v>Mid Level</v>
      </c>
      <c r="M75" t="str" cm="1">
        <f t="array" ref="M75">_xlfn.IFS(I75=100,"Full Remote",I75=50,"Hybrid",I75=0,"On-Site")</f>
        <v>Full Remote</v>
      </c>
    </row>
    <row r="76" spans="1:13" x14ac:dyDescent="0.2">
      <c r="A76">
        <v>2021</v>
      </c>
      <c r="B76" t="s">
        <v>11</v>
      </c>
      <c r="C76" t="s">
        <v>12</v>
      </c>
      <c r="D76" t="s">
        <v>18</v>
      </c>
      <c r="E76">
        <v>2100000</v>
      </c>
      <c r="F76" t="s">
        <v>47</v>
      </c>
      <c r="G76">
        <v>28475</v>
      </c>
      <c r="H76" t="s">
        <v>48</v>
      </c>
      <c r="I76">
        <v>100</v>
      </c>
      <c r="J76" t="s">
        <v>48</v>
      </c>
      <c r="K76" t="s">
        <v>25</v>
      </c>
      <c r="L76" t="str" cm="1">
        <f t="array" ref="L76">_xlfn.IFS(B76="EN","Entry Level",B76="MI","Mid Level",B76="SE","Senior Level",B76="EX","Expert Level")</f>
        <v>Entry Level</v>
      </c>
      <c r="M76" t="str" cm="1">
        <f t="array" ref="M76">_xlfn.IFS(I76=100,"Full Remote",I76=50,"Hybrid",I76=0,"On-Site")</f>
        <v>Full Remote</v>
      </c>
    </row>
    <row r="77" spans="1:13" x14ac:dyDescent="0.2">
      <c r="A77">
        <v>2021</v>
      </c>
      <c r="B77" t="s">
        <v>17</v>
      </c>
      <c r="C77" t="s">
        <v>12</v>
      </c>
      <c r="D77" t="s">
        <v>31</v>
      </c>
      <c r="E77">
        <v>51400</v>
      </c>
      <c r="F77" t="s">
        <v>14</v>
      </c>
      <c r="G77">
        <v>61270</v>
      </c>
      <c r="H77" t="s">
        <v>43</v>
      </c>
      <c r="I77">
        <v>50</v>
      </c>
      <c r="J77" t="s">
        <v>43</v>
      </c>
      <c r="K77" t="s">
        <v>16</v>
      </c>
      <c r="L77" t="str" cm="1">
        <f t="array" ref="L77">_xlfn.IFS(B77="EN","Entry Level",B77="MI","Mid Level",B77="SE","Senior Level",B77="EX","Expert Level")</f>
        <v>Senior Level</v>
      </c>
      <c r="M77" t="str" cm="1">
        <f t="array" ref="M77">_xlfn.IFS(I77=100,"Full Remote",I77=50,"Hybrid",I77=0,"On-Site")</f>
        <v>Hybrid</v>
      </c>
    </row>
    <row r="78" spans="1:13" x14ac:dyDescent="0.2">
      <c r="A78">
        <v>2021</v>
      </c>
      <c r="B78" t="s">
        <v>11</v>
      </c>
      <c r="C78" t="s">
        <v>12</v>
      </c>
      <c r="D78" t="s">
        <v>18</v>
      </c>
      <c r="E78">
        <v>90000</v>
      </c>
      <c r="F78" t="s">
        <v>23</v>
      </c>
      <c r="G78">
        <v>90000</v>
      </c>
      <c r="H78" t="s">
        <v>20</v>
      </c>
      <c r="I78">
        <v>100</v>
      </c>
      <c r="J78" t="s">
        <v>20</v>
      </c>
      <c r="K78" t="s">
        <v>28</v>
      </c>
      <c r="L78" t="str" cm="1">
        <f t="array" ref="L78">_xlfn.IFS(B78="EN","Entry Level",B78="MI","Mid Level",B78="SE","Senior Level",B78="EX","Expert Level")</f>
        <v>Entry Level</v>
      </c>
      <c r="M78" t="str" cm="1">
        <f t="array" ref="M78">_xlfn.IFS(I78=100,"Full Remote",I78=50,"Hybrid",I78=0,"On-Site")</f>
        <v>Full Remote</v>
      </c>
    </row>
    <row r="79" spans="1:13" x14ac:dyDescent="0.2">
      <c r="A79">
        <v>2020</v>
      </c>
      <c r="B79" t="s">
        <v>30</v>
      </c>
      <c r="C79" t="s">
        <v>12</v>
      </c>
      <c r="D79" t="s">
        <v>34</v>
      </c>
      <c r="E79">
        <v>61500</v>
      </c>
      <c r="F79" t="s">
        <v>14</v>
      </c>
      <c r="G79">
        <v>70139</v>
      </c>
      <c r="H79" t="s">
        <v>33</v>
      </c>
      <c r="I79">
        <v>50</v>
      </c>
      <c r="J79" t="s">
        <v>33</v>
      </c>
      <c r="K79" t="s">
        <v>16</v>
      </c>
      <c r="L79" t="str" cm="1">
        <f t="array" ref="L79">_xlfn.IFS(B79="EN","Entry Level",B79="MI","Mid Level",B79="SE","Senior Level",B79="EX","Expert Level")</f>
        <v>Mid Level</v>
      </c>
      <c r="M79" t="str" cm="1">
        <f t="array" ref="M79">_xlfn.IFS(I79=100,"Full Remote",I79=50,"Hybrid",I79=0,"On-Site")</f>
        <v>Hybrid</v>
      </c>
    </row>
    <row r="80" spans="1:13" x14ac:dyDescent="0.2">
      <c r="A80">
        <v>2020</v>
      </c>
      <c r="B80" t="s">
        <v>11</v>
      </c>
      <c r="C80" t="s">
        <v>12</v>
      </c>
      <c r="D80" t="s">
        <v>32</v>
      </c>
      <c r="E80">
        <v>450000</v>
      </c>
      <c r="F80" t="s">
        <v>47</v>
      </c>
      <c r="G80">
        <v>6072</v>
      </c>
      <c r="H80" t="s">
        <v>48</v>
      </c>
      <c r="I80">
        <v>0</v>
      </c>
      <c r="J80" t="s">
        <v>48</v>
      </c>
      <c r="K80" t="s">
        <v>28</v>
      </c>
      <c r="L80" t="str" cm="1">
        <f t="array" ref="L80">_xlfn.IFS(B80="EN","Entry Level",B80="MI","Mid Level",B80="SE","Senior Level",B80="EX","Expert Level")</f>
        <v>Entry Level</v>
      </c>
      <c r="M80" t="str" cm="1">
        <f t="array" ref="M80">_xlfn.IFS(I80=100,"Full Remote",I80=50,"Hybrid",I80=0,"On-Site")</f>
        <v>On-Site</v>
      </c>
    </row>
    <row r="81" spans="1:13" x14ac:dyDescent="0.2">
      <c r="A81">
        <v>2020</v>
      </c>
      <c r="B81" t="s">
        <v>17</v>
      </c>
      <c r="C81" t="s">
        <v>12</v>
      </c>
      <c r="D81" t="s">
        <v>34</v>
      </c>
      <c r="E81">
        <v>720000</v>
      </c>
      <c r="F81" t="s">
        <v>78</v>
      </c>
      <c r="G81">
        <v>33511</v>
      </c>
      <c r="H81" t="s">
        <v>79</v>
      </c>
      <c r="I81">
        <v>0</v>
      </c>
      <c r="J81" t="s">
        <v>79</v>
      </c>
      <c r="K81" t="s">
        <v>28</v>
      </c>
      <c r="L81" t="str" cm="1">
        <f t="array" ref="L81">_xlfn.IFS(B81="EN","Entry Level",B81="MI","Mid Level",B81="SE","Senior Level",B81="EX","Expert Level")</f>
        <v>Senior Level</v>
      </c>
      <c r="M81" t="str" cm="1">
        <f t="array" ref="M81">_xlfn.IFS(I81=100,"Full Remote",I81=50,"Hybrid",I81=0,"On-Site")</f>
        <v>On-Site</v>
      </c>
    </row>
    <row r="82" spans="1:13" x14ac:dyDescent="0.2">
      <c r="A82">
        <v>2021</v>
      </c>
      <c r="B82" t="s">
        <v>17</v>
      </c>
      <c r="C82" t="s">
        <v>12</v>
      </c>
      <c r="D82" t="s">
        <v>80</v>
      </c>
      <c r="E82">
        <v>170000</v>
      </c>
      <c r="F82" t="s">
        <v>23</v>
      </c>
      <c r="G82">
        <v>170000</v>
      </c>
      <c r="H82" t="s">
        <v>20</v>
      </c>
      <c r="I82">
        <v>100</v>
      </c>
      <c r="J82" t="s">
        <v>20</v>
      </c>
      <c r="K82" t="s">
        <v>25</v>
      </c>
      <c r="L82" t="str" cm="1">
        <f t="array" ref="L82">_xlfn.IFS(B82="EN","Entry Level",B82="MI","Mid Level",B82="SE","Senior Level",B82="EX","Expert Level")</f>
        <v>Senior Level</v>
      </c>
      <c r="M82" t="str" cm="1">
        <f t="array" ref="M82">_xlfn.IFS(I82=100,"Full Remote",I82=50,"Hybrid",I82=0,"On-Site")</f>
        <v>Full Remote</v>
      </c>
    </row>
    <row r="83" spans="1:13" x14ac:dyDescent="0.2">
      <c r="A83">
        <v>2021</v>
      </c>
      <c r="B83" t="s">
        <v>17</v>
      </c>
      <c r="C83" t="s">
        <v>12</v>
      </c>
      <c r="D83" t="s">
        <v>34</v>
      </c>
      <c r="E83">
        <v>70000</v>
      </c>
      <c r="F83" t="s">
        <v>59</v>
      </c>
      <c r="G83">
        <v>96833</v>
      </c>
      <c r="H83" t="s">
        <v>52</v>
      </c>
      <c r="I83">
        <v>50</v>
      </c>
      <c r="J83" t="s">
        <v>52</v>
      </c>
      <c r="K83" t="s">
        <v>16</v>
      </c>
      <c r="L83" t="str" cm="1">
        <f t="array" ref="L83">_xlfn.IFS(B83="EN","Entry Level",B83="MI","Mid Level",B83="SE","Senior Level",B83="EX","Expert Level")</f>
        <v>Senior Level</v>
      </c>
      <c r="M83" t="str" cm="1">
        <f t="array" ref="M83">_xlfn.IFS(I83=100,"Full Remote",I83=50,"Hybrid",I83=0,"On-Site")</f>
        <v>Hybrid</v>
      </c>
    </row>
    <row r="84" spans="1:13" x14ac:dyDescent="0.2">
      <c r="A84">
        <v>2021</v>
      </c>
      <c r="B84" t="s">
        <v>30</v>
      </c>
      <c r="C84" t="s">
        <v>12</v>
      </c>
      <c r="D84" t="s">
        <v>34</v>
      </c>
      <c r="E84">
        <v>108000</v>
      </c>
      <c r="F84" t="s">
        <v>81</v>
      </c>
      <c r="G84">
        <v>13105</v>
      </c>
      <c r="H84" t="s">
        <v>82</v>
      </c>
      <c r="I84">
        <v>0</v>
      </c>
      <c r="J84" t="s">
        <v>82</v>
      </c>
      <c r="K84" t="s">
        <v>25</v>
      </c>
      <c r="L84" t="str" cm="1">
        <f t="array" ref="L84">_xlfn.IFS(B84="EN","Entry Level",B84="MI","Mid Level",B84="SE","Senior Level",B84="EX","Expert Level")</f>
        <v>Mid Level</v>
      </c>
      <c r="M84" t="str" cm="1">
        <f t="array" ref="M84">_xlfn.IFS(I84=100,"Full Remote",I84=50,"Hybrid",I84=0,"On-Site")</f>
        <v>On-Site</v>
      </c>
    </row>
    <row r="85" spans="1:13" x14ac:dyDescent="0.2">
      <c r="A85">
        <v>2021</v>
      </c>
      <c r="B85" t="s">
        <v>11</v>
      </c>
      <c r="C85" t="s">
        <v>12</v>
      </c>
      <c r="D85" t="s">
        <v>18</v>
      </c>
      <c r="E85">
        <v>31000</v>
      </c>
      <c r="F85" t="s">
        <v>14</v>
      </c>
      <c r="G85">
        <v>36952</v>
      </c>
      <c r="H85" t="s">
        <v>33</v>
      </c>
      <c r="I85">
        <v>50</v>
      </c>
      <c r="J85" t="s">
        <v>33</v>
      </c>
      <c r="K85" t="s">
        <v>16</v>
      </c>
      <c r="L85" t="str" cm="1">
        <f t="array" ref="L85">_xlfn.IFS(B85="EN","Entry Level",B85="MI","Mid Level",B85="SE","Senior Level",B85="EX","Expert Level")</f>
        <v>Entry Level</v>
      </c>
      <c r="M85" t="str" cm="1">
        <f t="array" ref="M85">_xlfn.IFS(I85=100,"Full Remote",I85=50,"Hybrid",I85=0,"On-Site")</f>
        <v>Hybrid</v>
      </c>
    </row>
    <row r="86" spans="1:13" x14ac:dyDescent="0.2">
      <c r="A86">
        <v>2021</v>
      </c>
      <c r="B86" t="s">
        <v>30</v>
      </c>
      <c r="C86" t="s">
        <v>12</v>
      </c>
      <c r="D86" t="s">
        <v>34</v>
      </c>
      <c r="E86">
        <v>52500</v>
      </c>
      <c r="F86" t="s">
        <v>59</v>
      </c>
      <c r="G86">
        <v>72625</v>
      </c>
      <c r="H86" t="s">
        <v>52</v>
      </c>
      <c r="I86">
        <v>50</v>
      </c>
      <c r="J86" t="s">
        <v>52</v>
      </c>
      <c r="K86" t="s">
        <v>16</v>
      </c>
      <c r="L86" t="str" cm="1">
        <f t="array" ref="L86">_xlfn.IFS(B86="EN","Entry Level",B86="MI","Mid Level",B86="SE","Senior Level",B86="EX","Expert Level")</f>
        <v>Mid Level</v>
      </c>
      <c r="M86" t="str" cm="1">
        <f t="array" ref="M86">_xlfn.IFS(I86=100,"Full Remote",I86=50,"Hybrid",I86=0,"On-Site")</f>
        <v>Hybrid</v>
      </c>
    </row>
    <row r="87" spans="1:13" x14ac:dyDescent="0.2">
      <c r="A87">
        <v>2020</v>
      </c>
      <c r="B87" t="s">
        <v>11</v>
      </c>
      <c r="C87" t="s">
        <v>12</v>
      </c>
      <c r="D87" t="s">
        <v>32</v>
      </c>
      <c r="E87">
        <v>91000</v>
      </c>
      <c r="F87" t="s">
        <v>23</v>
      </c>
      <c r="G87">
        <v>91000</v>
      </c>
      <c r="H87" t="s">
        <v>20</v>
      </c>
      <c r="I87">
        <v>100</v>
      </c>
      <c r="J87" t="s">
        <v>20</v>
      </c>
      <c r="K87" t="s">
        <v>16</v>
      </c>
      <c r="L87" t="str" cm="1">
        <f t="array" ref="L87">_xlfn.IFS(B87="EN","Entry Level",B87="MI","Mid Level",B87="SE","Senior Level",B87="EX","Expert Level")</f>
        <v>Entry Level</v>
      </c>
      <c r="M87" t="str" cm="1">
        <f t="array" ref="M87">_xlfn.IFS(I87=100,"Full Remote",I87=50,"Hybrid",I87=0,"On-Site")</f>
        <v>Full Remote</v>
      </c>
    </row>
    <row r="88" spans="1:13" x14ac:dyDescent="0.2">
      <c r="A88">
        <v>2021</v>
      </c>
      <c r="B88" t="s">
        <v>17</v>
      </c>
      <c r="C88" t="s">
        <v>12</v>
      </c>
      <c r="D88" t="s">
        <v>83</v>
      </c>
      <c r="E88">
        <v>125000</v>
      </c>
      <c r="F88" t="s">
        <v>37</v>
      </c>
      <c r="G88">
        <v>99956</v>
      </c>
      <c r="H88" t="s">
        <v>38</v>
      </c>
      <c r="I88">
        <v>50</v>
      </c>
      <c r="J88" t="s">
        <v>38</v>
      </c>
      <c r="K88" t="s">
        <v>25</v>
      </c>
      <c r="L88" t="str" cm="1">
        <f t="array" ref="L88">_xlfn.IFS(B88="EN","Entry Level",B88="MI","Mid Level",B88="SE","Senior Level",B88="EX","Expert Level")</f>
        <v>Senior Level</v>
      </c>
      <c r="M88" t="str" cm="1">
        <f t="array" ref="M88">_xlfn.IFS(I88=100,"Full Remote",I88=50,"Hybrid",I88=0,"On-Site")</f>
        <v>Hybrid</v>
      </c>
    </row>
    <row r="89" spans="1:13" x14ac:dyDescent="0.2">
      <c r="A89">
        <v>2021</v>
      </c>
      <c r="B89" t="s">
        <v>17</v>
      </c>
      <c r="C89" t="s">
        <v>12</v>
      </c>
      <c r="D89" t="s">
        <v>18</v>
      </c>
      <c r="E89">
        <v>165000</v>
      </c>
      <c r="F89" t="s">
        <v>23</v>
      </c>
      <c r="G89">
        <v>165000</v>
      </c>
      <c r="H89" t="s">
        <v>20</v>
      </c>
      <c r="I89">
        <v>100</v>
      </c>
      <c r="J89" t="s">
        <v>20</v>
      </c>
      <c r="K89" t="s">
        <v>16</v>
      </c>
      <c r="L89" t="str" cm="1">
        <f t="array" ref="L89">_xlfn.IFS(B89="EN","Entry Level",B89="MI","Mid Level",B89="SE","Senior Level",B89="EX","Expert Level")</f>
        <v>Senior Level</v>
      </c>
      <c r="M89" t="str" cm="1">
        <f t="array" ref="M89">_xlfn.IFS(I89=100,"Full Remote",I89=50,"Hybrid",I89=0,"On-Site")</f>
        <v>Full Remote</v>
      </c>
    </row>
    <row r="90" spans="1:13" x14ac:dyDescent="0.2">
      <c r="A90">
        <v>2021</v>
      </c>
      <c r="B90" t="s">
        <v>30</v>
      </c>
      <c r="C90" t="s">
        <v>12</v>
      </c>
      <c r="D90" t="s">
        <v>32</v>
      </c>
      <c r="E90">
        <v>80000</v>
      </c>
      <c r="F90" t="s">
        <v>23</v>
      </c>
      <c r="G90">
        <v>80000</v>
      </c>
      <c r="H90" t="s">
        <v>20</v>
      </c>
      <c r="I90">
        <v>100</v>
      </c>
      <c r="J90" t="s">
        <v>20</v>
      </c>
      <c r="K90" t="s">
        <v>16</v>
      </c>
      <c r="L90" t="str" cm="1">
        <f t="array" ref="L90">_xlfn.IFS(B90="EN","Entry Level",B90="MI","Mid Level",B90="SE","Senior Level",B90="EX","Expert Level")</f>
        <v>Mid Level</v>
      </c>
      <c r="M90" t="str" cm="1">
        <f t="array" ref="M90">_xlfn.IFS(I90=100,"Full Remote",I90=50,"Hybrid",I90=0,"On-Site")</f>
        <v>Full Remote</v>
      </c>
    </row>
    <row r="91" spans="1:13" x14ac:dyDescent="0.2">
      <c r="A91">
        <v>2021</v>
      </c>
      <c r="B91" t="s">
        <v>17</v>
      </c>
      <c r="C91" t="s">
        <v>12</v>
      </c>
      <c r="D91" t="s">
        <v>18</v>
      </c>
      <c r="E91">
        <v>130000</v>
      </c>
      <c r="F91" t="s">
        <v>37</v>
      </c>
      <c r="G91">
        <v>103954</v>
      </c>
      <c r="H91" t="s">
        <v>38</v>
      </c>
      <c r="I91">
        <v>100</v>
      </c>
      <c r="J91" t="s">
        <v>38</v>
      </c>
      <c r="K91" t="s">
        <v>16</v>
      </c>
      <c r="L91" t="str" cm="1">
        <f t="array" ref="L91">_xlfn.IFS(B91="EN","Entry Level",B91="MI","Mid Level",B91="SE","Senior Level",B91="EX","Expert Level")</f>
        <v>Senior Level</v>
      </c>
      <c r="M91" t="str" cm="1">
        <f t="array" ref="M91">_xlfn.IFS(I91=100,"Full Remote",I91=50,"Hybrid",I91=0,"On-Site")</f>
        <v>Full Remote</v>
      </c>
    </row>
    <row r="92" spans="1:13" x14ac:dyDescent="0.2">
      <c r="A92">
        <v>2021</v>
      </c>
      <c r="B92" t="s">
        <v>11</v>
      </c>
      <c r="C92" t="s">
        <v>12</v>
      </c>
      <c r="D92" t="s">
        <v>34</v>
      </c>
      <c r="E92">
        <v>1600000</v>
      </c>
      <c r="F92" t="s">
        <v>47</v>
      </c>
      <c r="G92">
        <v>21695</v>
      </c>
      <c r="H92" t="s">
        <v>48</v>
      </c>
      <c r="I92">
        <v>50</v>
      </c>
      <c r="J92" t="s">
        <v>48</v>
      </c>
      <c r="K92" t="s">
        <v>25</v>
      </c>
      <c r="L92" t="str" cm="1">
        <f t="array" ref="L92">_xlfn.IFS(B92="EN","Entry Level",B92="MI","Mid Level",B92="SE","Senior Level",B92="EX","Expert Level")</f>
        <v>Entry Level</v>
      </c>
      <c r="M92" t="str" cm="1">
        <f t="array" ref="M92">_xlfn.IFS(I92=100,"Full Remote",I92=50,"Hybrid",I92=0,"On-Site")</f>
        <v>Hybrid</v>
      </c>
    </row>
    <row r="93" spans="1:13" x14ac:dyDescent="0.2">
      <c r="A93">
        <v>2020</v>
      </c>
      <c r="B93" t="s">
        <v>11</v>
      </c>
      <c r="C93" t="s">
        <v>12</v>
      </c>
      <c r="D93" t="s">
        <v>31</v>
      </c>
      <c r="E93">
        <v>42000</v>
      </c>
      <c r="F93" t="s">
        <v>23</v>
      </c>
      <c r="G93">
        <v>42000</v>
      </c>
      <c r="H93" t="s">
        <v>84</v>
      </c>
      <c r="I93">
        <v>50</v>
      </c>
      <c r="J93" t="s">
        <v>84</v>
      </c>
      <c r="K93" t="s">
        <v>16</v>
      </c>
      <c r="L93" t="str" cm="1">
        <f t="array" ref="L93">_xlfn.IFS(B93="EN","Entry Level",B93="MI","Mid Level",B93="SE","Senior Level",B93="EX","Expert Level")</f>
        <v>Entry Level</v>
      </c>
      <c r="M93" t="str" cm="1">
        <f t="array" ref="M93">_xlfn.IFS(I93=100,"Full Remote",I93=50,"Hybrid",I93=0,"On-Site")</f>
        <v>Hybrid</v>
      </c>
    </row>
    <row r="94" spans="1:13" x14ac:dyDescent="0.2">
      <c r="A94">
        <v>2020</v>
      </c>
      <c r="B94" t="s">
        <v>30</v>
      </c>
      <c r="C94" t="s">
        <v>12</v>
      </c>
      <c r="D94" t="s">
        <v>85</v>
      </c>
      <c r="E94">
        <v>115000</v>
      </c>
      <c r="F94" t="s">
        <v>23</v>
      </c>
      <c r="G94">
        <v>115000</v>
      </c>
      <c r="H94" t="s">
        <v>86</v>
      </c>
      <c r="I94">
        <v>0</v>
      </c>
      <c r="J94" t="s">
        <v>86</v>
      </c>
      <c r="K94" t="s">
        <v>16</v>
      </c>
      <c r="L94" t="str" cm="1">
        <f t="array" ref="L94">_xlfn.IFS(B94="EN","Entry Level",B94="MI","Mid Level",B94="SE","Senior Level",B94="EX","Expert Level")</f>
        <v>Mid Level</v>
      </c>
      <c r="M94" t="str" cm="1">
        <f t="array" ref="M94">_xlfn.IFS(I94=100,"Full Remote",I94=50,"Hybrid",I94=0,"On-Site")</f>
        <v>On-Site</v>
      </c>
    </row>
    <row r="95" spans="1:13" x14ac:dyDescent="0.2">
      <c r="A95">
        <v>2021</v>
      </c>
      <c r="B95" t="s">
        <v>30</v>
      </c>
      <c r="C95" t="s">
        <v>12</v>
      </c>
      <c r="D95" t="s">
        <v>31</v>
      </c>
      <c r="E95">
        <v>80000</v>
      </c>
      <c r="F95" t="s">
        <v>37</v>
      </c>
      <c r="G95">
        <v>63971</v>
      </c>
      <c r="H95" t="s">
        <v>38</v>
      </c>
      <c r="I95">
        <v>100</v>
      </c>
      <c r="J95" t="s">
        <v>38</v>
      </c>
      <c r="K95" t="s">
        <v>25</v>
      </c>
      <c r="L95" t="str" cm="1">
        <f t="array" ref="L95">_xlfn.IFS(B95="EN","Entry Level",B95="MI","Mid Level",B95="SE","Senior Level",B95="EX","Expert Level")</f>
        <v>Mid Level</v>
      </c>
      <c r="M95" t="str" cm="1">
        <f t="array" ref="M95">_xlfn.IFS(I95=100,"Full Remote",I95=50,"Hybrid",I95=0,"On-Site")</f>
        <v>Full Remote</v>
      </c>
    </row>
    <row r="96" spans="1:13" x14ac:dyDescent="0.2">
      <c r="A96">
        <v>2020</v>
      </c>
      <c r="B96" t="s">
        <v>17</v>
      </c>
      <c r="C96" t="s">
        <v>12</v>
      </c>
      <c r="D96" t="s">
        <v>64</v>
      </c>
      <c r="E96">
        <v>260000</v>
      </c>
      <c r="F96" t="s">
        <v>23</v>
      </c>
      <c r="G96">
        <v>260000</v>
      </c>
      <c r="H96" t="s">
        <v>87</v>
      </c>
      <c r="I96">
        <v>0</v>
      </c>
      <c r="J96" t="s">
        <v>87</v>
      </c>
      <c r="K96" t="s">
        <v>28</v>
      </c>
      <c r="L96" t="str" cm="1">
        <f t="array" ref="L96">_xlfn.IFS(B96="EN","Entry Level",B96="MI","Mid Level",B96="SE","Senior Level",B96="EX","Expert Level")</f>
        <v>Senior Level</v>
      </c>
      <c r="M96" t="str" cm="1">
        <f t="array" ref="M96">_xlfn.IFS(I96=100,"Full Remote",I96=50,"Hybrid",I96=0,"On-Site")</f>
        <v>On-Site</v>
      </c>
    </row>
    <row r="97" spans="1:13" x14ac:dyDescent="0.2">
      <c r="A97">
        <v>2021</v>
      </c>
      <c r="B97" t="s">
        <v>30</v>
      </c>
      <c r="C97" t="s">
        <v>12</v>
      </c>
      <c r="D97" t="s">
        <v>22</v>
      </c>
      <c r="E97">
        <v>110000</v>
      </c>
      <c r="F97" t="s">
        <v>23</v>
      </c>
      <c r="G97">
        <v>110000</v>
      </c>
      <c r="H97" t="s">
        <v>20</v>
      </c>
      <c r="I97">
        <v>0</v>
      </c>
      <c r="J97" t="s">
        <v>20</v>
      </c>
      <c r="K97" t="s">
        <v>28</v>
      </c>
      <c r="L97" t="str" cm="1">
        <f t="array" ref="L97">_xlfn.IFS(B97="EN","Entry Level",B97="MI","Mid Level",B97="SE","Senior Level",B97="EX","Expert Level")</f>
        <v>Mid Level</v>
      </c>
      <c r="M97" t="str" cm="1">
        <f t="array" ref="M97">_xlfn.IFS(I97=100,"Full Remote",I97=50,"Hybrid",I97=0,"On-Site")</f>
        <v>On-Site</v>
      </c>
    </row>
    <row r="98" spans="1:13" x14ac:dyDescent="0.2">
      <c r="A98">
        <v>2021</v>
      </c>
      <c r="B98" t="s">
        <v>30</v>
      </c>
      <c r="C98" t="s">
        <v>12</v>
      </c>
      <c r="D98" t="s">
        <v>88</v>
      </c>
      <c r="E98">
        <v>180000</v>
      </c>
      <c r="F98" t="s">
        <v>23</v>
      </c>
      <c r="G98">
        <v>180000</v>
      </c>
      <c r="H98" t="s">
        <v>20</v>
      </c>
      <c r="I98">
        <v>100</v>
      </c>
      <c r="J98" t="s">
        <v>20</v>
      </c>
      <c r="K98" t="s">
        <v>16</v>
      </c>
      <c r="L98" t="str" cm="1">
        <f t="array" ref="L98">_xlfn.IFS(B98="EN","Entry Level",B98="MI","Mid Level",B98="SE","Senior Level",B98="EX","Expert Level")</f>
        <v>Mid Level</v>
      </c>
      <c r="M98" t="str" cm="1">
        <f t="array" ref="M98">_xlfn.IFS(I98=100,"Full Remote",I98=50,"Hybrid",I98=0,"On-Site")</f>
        <v>Full Remote</v>
      </c>
    </row>
    <row r="99" spans="1:13" x14ac:dyDescent="0.2">
      <c r="A99">
        <v>2021</v>
      </c>
      <c r="B99" t="s">
        <v>17</v>
      </c>
      <c r="C99" t="s">
        <v>12</v>
      </c>
      <c r="D99" t="s">
        <v>32</v>
      </c>
      <c r="E99">
        <v>200000</v>
      </c>
      <c r="F99" t="s">
        <v>23</v>
      </c>
      <c r="G99">
        <v>200000</v>
      </c>
      <c r="H99" t="s">
        <v>20</v>
      </c>
      <c r="I99">
        <v>100</v>
      </c>
      <c r="J99" t="s">
        <v>20</v>
      </c>
      <c r="K99" t="s">
        <v>16</v>
      </c>
      <c r="L99" t="str" cm="1">
        <f t="array" ref="L99">_xlfn.IFS(B99="EN","Entry Level",B99="MI","Mid Level",B99="SE","Senior Level",B99="EX","Expert Level")</f>
        <v>Senior Level</v>
      </c>
      <c r="M99" t="str" cm="1">
        <f t="array" ref="M99">_xlfn.IFS(I99=100,"Full Remote",I99=50,"Hybrid",I99=0,"On-Site")</f>
        <v>Full Remote</v>
      </c>
    </row>
    <row r="100" spans="1:13" x14ac:dyDescent="0.2">
      <c r="A100">
        <v>2020</v>
      </c>
      <c r="B100" t="s">
        <v>17</v>
      </c>
      <c r="C100" t="s">
        <v>12</v>
      </c>
      <c r="D100" t="s">
        <v>89</v>
      </c>
      <c r="E100">
        <v>85000</v>
      </c>
      <c r="F100" t="s">
        <v>59</v>
      </c>
      <c r="G100">
        <v>109024</v>
      </c>
      <c r="H100" t="s">
        <v>52</v>
      </c>
      <c r="I100">
        <v>50</v>
      </c>
      <c r="J100" t="s">
        <v>52</v>
      </c>
      <c r="K100" t="s">
        <v>25</v>
      </c>
      <c r="L100" t="str" cm="1">
        <f t="array" ref="L100">_xlfn.IFS(B100="EN","Entry Level",B100="MI","Mid Level",B100="SE","Senior Level",B100="EX","Expert Level")</f>
        <v>Senior Level</v>
      </c>
      <c r="M100" t="str" cm="1">
        <f t="array" ref="M100">_xlfn.IFS(I100=100,"Full Remote",I100=50,"Hybrid",I100=0,"On-Site")</f>
        <v>Hybrid</v>
      </c>
    </row>
    <row r="101" spans="1:13" x14ac:dyDescent="0.2">
      <c r="A101">
        <v>2021</v>
      </c>
      <c r="B101" t="s">
        <v>17</v>
      </c>
      <c r="C101" t="s">
        <v>12</v>
      </c>
      <c r="D101" t="s">
        <v>69</v>
      </c>
      <c r="E101">
        <v>200000</v>
      </c>
      <c r="F101" t="s">
        <v>23</v>
      </c>
      <c r="G101">
        <v>200000</v>
      </c>
      <c r="H101" t="s">
        <v>20</v>
      </c>
      <c r="I101">
        <v>100</v>
      </c>
      <c r="J101" t="s">
        <v>20</v>
      </c>
      <c r="K101" t="s">
        <v>16</v>
      </c>
      <c r="L101" t="str" cm="1">
        <f t="array" ref="L101">_xlfn.IFS(B101="EN","Entry Level",B101="MI","Mid Level",B101="SE","Senior Level",B101="EX","Expert Level")</f>
        <v>Senior Level</v>
      </c>
      <c r="M101" t="str" cm="1">
        <f t="array" ref="M101">_xlfn.IFS(I101=100,"Full Remote",I101=50,"Hybrid",I101=0,"On-Site")</f>
        <v>Full Remote</v>
      </c>
    </row>
    <row r="102" spans="1:13" x14ac:dyDescent="0.2">
      <c r="A102">
        <v>2021</v>
      </c>
      <c r="B102" t="s">
        <v>17</v>
      </c>
      <c r="C102" t="s">
        <v>12</v>
      </c>
      <c r="D102" t="s">
        <v>50</v>
      </c>
      <c r="E102">
        <v>256000</v>
      </c>
      <c r="F102" t="s">
        <v>23</v>
      </c>
      <c r="G102">
        <v>256000</v>
      </c>
      <c r="H102" t="s">
        <v>20</v>
      </c>
      <c r="I102">
        <v>100</v>
      </c>
      <c r="J102" t="s">
        <v>20</v>
      </c>
      <c r="K102" t="s">
        <v>28</v>
      </c>
      <c r="L102" t="str" cm="1">
        <f t="array" ref="L102">_xlfn.IFS(B102="EN","Entry Level",B102="MI","Mid Level",B102="SE","Senior Level",B102="EX","Expert Level")</f>
        <v>Senior Level</v>
      </c>
      <c r="M102" t="str" cm="1">
        <f t="array" ref="M102">_xlfn.IFS(I102=100,"Full Remote",I102=50,"Hybrid",I102=0,"On-Site")</f>
        <v>Full Remote</v>
      </c>
    </row>
    <row r="103" spans="1:13" x14ac:dyDescent="0.2">
      <c r="A103">
        <v>2021</v>
      </c>
      <c r="B103" t="s">
        <v>30</v>
      </c>
      <c r="C103" t="s">
        <v>12</v>
      </c>
      <c r="D103" t="s">
        <v>34</v>
      </c>
      <c r="E103">
        <v>110000</v>
      </c>
      <c r="F103" t="s">
        <v>23</v>
      </c>
      <c r="G103">
        <v>110000</v>
      </c>
      <c r="H103" t="s">
        <v>20</v>
      </c>
      <c r="I103">
        <v>100</v>
      </c>
      <c r="J103" t="s">
        <v>20</v>
      </c>
      <c r="K103" t="s">
        <v>16</v>
      </c>
      <c r="L103" t="str" cm="1">
        <f t="array" ref="L103">_xlfn.IFS(B103="EN","Entry Level",B103="MI","Mid Level",B103="SE","Senior Level",B103="EX","Expert Level")</f>
        <v>Mid Level</v>
      </c>
      <c r="M103" t="str" cm="1">
        <f t="array" ref="M103">_xlfn.IFS(I103=100,"Full Remote",I103=50,"Hybrid",I103=0,"On-Site")</f>
        <v>Full Remote</v>
      </c>
    </row>
    <row r="104" spans="1:13" x14ac:dyDescent="0.2">
      <c r="A104">
        <v>2020</v>
      </c>
      <c r="B104" t="s">
        <v>30</v>
      </c>
      <c r="C104" t="s">
        <v>12</v>
      </c>
      <c r="D104" t="s">
        <v>18</v>
      </c>
      <c r="E104">
        <v>70000</v>
      </c>
      <c r="F104" t="s">
        <v>14</v>
      </c>
      <c r="G104">
        <v>79833</v>
      </c>
      <c r="H104" t="s">
        <v>15</v>
      </c>
      <c r="I104">
        <v>0</v>
      </c>
      <c r="J104" t="s">
        <v>15</v>
      </c>
      <c r="K104" t="s">
        <v>16</v>
      </c>
      <c r="L104" t="str" cm="1">
        <f t="array" ref="L104">_xlfn.IFS(B104="EN","Entry Level",B104="MI","Mid Level",B104="SE","Senior Level",B104="EX","Expert Level")</f>
        <v>Mid Level</v>
      </c>
      <c r="M104" t="str" cm="1">
        <f t="array" ref="M104">_xlfn.IFS(I104=100,"Full Remote",I104=50,"Hybrid",I104=0,"On-Site")</f>
        <v>On-Site</v>
      </c>
    </row>
    <row r="105" spans="1:13" x14ac:dyDescent="0.2">
      <c r="A105">
        <v>2021</v>
      </c>
      <c r="B105" t="s">
        <v>11</v>
      </c>
      <c r="C105" t="s">
        <v>12</v>
      </c>
      <c r="D105" t="s">
        <v>34</v>
      </c>
      <c r="E105">
        <v>72500</v>
      </c>
      <c r="F105" t="s">
        <v>23</v>
      </c>
      <c r="G105">
        <v>72500</v>
      </c>
      <c r="H105" t="s">
        <v>20</v>
      </c>
      <c r="I105">
        <v>100</v>
      </c>
      <c r="J105" t="s">
        <v>20</v>
      </c>
      <c r="K105" t="s">
        <v>16</v>
      </c>
      <c r="L105" t="str" cm="1">
        <f t="array" ref="L105">_xlfn.IFS(B105="EN","Entry Level",B105="MI","Mid Level",B105="SE","Senior Level",B105="EX","Expert Level")</f>
        <v>Entry Level</v>
      </c>
      <c r="M105" t="str" cm="1">
        <f t="array" ref="M105">_xlfn.IFS(I105=100,"Full Remote",I105=50,"Hybrid",I105=0,"On-Site")</f>
        <v>Full Remote</v>
      </c>
    </row>
    <row r="106" spans="1:13" x14ac:dyDescent="0.2">
      <c r="A106">
        <v>2021</v>
      </c>
      <c r="B106" t="s">
        <v>17</v>
      </c>
      <c r="C106" t="s">
        <v>12</v>
      </c>
      <c r="D106" t="s">
        <v>27</v>
      </c>
      <c r="E106">
        <v>185000</v>
      </c>
      <c r="F106" t="s">
        <v>23</v>
      </c>
      <c r="G106">
        <v>185000</v>
      </c>
      <c r="H106" t="s">
        <v>20</v>
      </c>
      <c r="I106">
        <v>50</v>
      </c>
      <c r="J106" t="s">
        <v>20</v>
      </c>
      <c r="K106" t="s">
        <v>16</v>
      </c>
      <c r="L106" t="str" cm="1">
        <f t="array" ref="L106">_xlfn.IFS(B106="EN","Entry Level",B106="MI","Mid Level",B106="SE","Senior Level",B106="EX","Expert Level")</f>
        <v>Senior Level</v>
      </c>
      <c r="M106" t="str" cm="1">
        <f t="array" ref="M106">_xlfn.IFS(I106=100,"Full Remote",I106=50,"Hybrid",I106=0,"On-Site")</f>
        <v>Hybrid</v>
      </c>
    </row>
    <row r="107" spans="1:13" x14ac:dyDescent="0.2">
      <c r="A107">
        <v>2021</v>
      </c>
      <c r="B107" t="s">
        <v>30</v>
      </c>
      <c r="C107" t="s">
        <v>43</v>
      </c>
      <c r="D107" t="s">
        <v>34</v>
      </c>
      <c r="E107">
        <v>59000</v>
      </c>
      <c r="F107" t="s">
        <v>14</v>
      </c>
      <c r="G107">
        <v>70329</v>
      </c>
      <c r="H107" t="s">
        <v>84</v>
      </c>
      <c r="I107">
        <v>100</v>
      </c>
      <c r="J107" t="s">
        <v>84</v>
      </c>
      <c r="K107" t="s">
        <v>16</v>
      </c>
      <c r="L107" t="str" cm="1">
        <f t="array" ref="L107">_xlfn.IFS(B107="EN","Entry Level",B107="MI","Mid Level",B107="SE","Senior Level",B107="EX","Expert Level")</f>
        <v>Mid Level</v>
      </c>
      <c r="M107" t="str" cm="1">
        <f t="array" ref="M107">_xlfn.IFS(I107=100,"Full Remote",I107=50,"Hybrid",I107=0,"On-Site")</f>
        <v>Full Remote</v>
      </c>
    </row>
    <row r="108" spans="1:13" x14ac:dyDescent="0.2">
      <c r="A108">
        <v>2021</v>
      </c>
      <c r="B108" t="s">
        <v>11</v>
      </c>
      <c r="C108" t="s">
        <v>12</v>
      </c>
      <c r="D108" t="s">
        <v>31</v>
      </c>
      <c r="E108">
        <v>100000</v>
      </c>
      <c r="F108" t="s">
        <v>23</v>
      </c>
      <c r="G108">
        <v>100000</v>
      </c>
      <c r="H108" t="s">
        <v>90</v>
      </c>
      <c r="I108">
        <v>0</v>
      </c>
      <c r="J108" t="s">
        <v>91</v>
      </c>
      <c r="K108" t="s">
        <v>16</v>
      </c>
      <c r="L108" t="str" cm="1">
        <f t="array" ref="L108">_xlfn.IFS(B108="EN","Entry Level",B108="MI","Mid Level",B108="SE","Senior Level",B108="EX","Expert Level")</f>
        <v>Entry Level</v>
      </c>
      <c r="M108" t="str" cm="1">
        <f t="array" ref="M108">_xlfn.IFS(I108=100,"Full Remote",I108=50,"Hybrid",I108=0,"On-Site")</f>
        <v>On-Site</v>
      </c>
    </row>
    <row r="109" spans="1:13" x14ac:dyDescent="0.2">
      <c r="A109">
        <v>2021</v>
      </c>
      <c r="B109" t="s">
        <v>30</v>
      </c>
      <c r="C109" t="s">
        <v>12</v>
      </c>
      <c r="D109" t="s">
        <v>34</v>
      </c>
      <c r="E109">
        <v>112000</v>
      </c>
      <c r="F109" t="s">
        <v>23</v>
      </c>
      <c r="G109">
        <v>112000</v>
      </c>
      <c r="H109" t="s">
        <v>20</v>
      </c>
      <c r="I109">
        <v>100</v>
      </c>
      <c r="J109" t="s">
        <v>20</v>
      </c>
      <c r="K109" t="s">
        <v>16</v>
      </c>
      <c r="L109" t="str" cm="1">
        <f t="array" ref="L109">_xlfn.IFS(B109="EN","Entry Level",B109="MI","Mid Level",B109="SE","Senior Level",B109="EX","Expert Level")</f>
        <v>Mid Level</v>
      </c>
      <c r="M109" t="str" cm="1">
        <f t="array" ref="M109">_xlfn.IFS(I109=100,"Full Remote",I109=50,"Hybrid",I109=0,"On-Site")</f>
        <v>Full Remote</v>
      </c>
    </row>
    <row r="110" spans="1:13" x14ac:dyDescent="0.2">
      <c r="A110">
        <v>2020</v>
      </c>
      <c r="B110" t="s">
        <v>17</v>
      </c>
      <c r="C110" t="s">
        <v>12</v>
      </c>
      <c r="D110" t="s">
        <v>27</v>
      </c>
      <c r="E110">
        <v>150000</v>
      </c>
      <c r="F110" t="s">
        <v>23</v>
      </c>
      <c r="G110">
        <v>150000</v>
      </c>
      <c r="H110" t="s">
        <v>20</v>
      </c>
      <c r="I110">
        <v>50</v>
      </c>
      <c r="J110" t="s">
        <v>20</v>
      </c>
      <c r="K110" t="s">
        <v>16</v>
      </c>
      <c r="L110" t="str" cm="1">
        <f t="array" ref="L110">_xlfn.IFS(B110="EN","Entry Level",B110="MI","Mid Level",B110="SE","Senior Level",B110="EX","Expert Level")</f>
        <v>Senior Level</v>
      </c>
      <c r="M110" t="str" cm="1">
        <f t="array" ref="M110">_xlfn.IFS(I110=100,"Full Remote",I110=50,"Hybrid",I110=0,"On-Site")</f>
        <v>Hybrid</v>
      </c>
    </row>
    <row r="111" spans="1:13" x14ac:dyDescent="0.2">
      <c r="A111">
        <v>2021</v>
      </c>
      <c r="B111" t="s">
        <v>17</v>
      </c>
      <c r="C111" t="s">
        <v>12</v>
      </c>
      <c r="D111" t="s">
        <v>18</v>
      </c>
      <c r="E111">
        <v>180000</v>
      </c>
      <c r="F111" t="s">
        <v>81</v>
      </c>
      <c r="G111">
        <v>21843</v>
      </c>
      <c r="H111" t="s">
        <v>82</v>
      </c>
      <c r="I111">
        <v>50</v>
      </c>
      <c r="J111" t="s">
        <v>82</v>
      </c>
      <c r="K111" t="s">
        <v>16</v>
      </c>
      <c r="L111" t="str" cm="1">
        <f t="array" ref="L111">_xlfn.IFS(B111="EN","Entry Level",B111="MI","Mid Level",B111="SE","Senior Level",B111="EX","Expert Level")</f>
        <v>Senior Level</v>
      </c>
      <c r="M111" t="str" cm="1">
        <f t="array" ref="M111">_xlfn.IFS(I111=100,"Full Remote",I111=50,"Hybrid",I111=0,"On-Site")</f>
        <v>Hybrid</v>
      </c>
    </row>
    <row r="112" spans="1:13" x14ac:dyDescent="0.2">
      <c r="A112">
        <v>2021</v>
      </c>
      <c r="B112" t="s">
        <v>17</v>
      </c>
      <c r="C112" t="s">
        <v>12</v>
      </c>
      <c r="D112" t="s">
        <v>44</v>
      </c>
      <c r="E112">
        <v>55000</v>
      </c>
      <c r="F112" t="s">
        <v>23</v>
      </c>
      <c r="G112">
        <v>55000</v>
      </c>
      <c r="H112" t="s">
        <v>53</v>
      </c>
      <c r="I112">
        <v>100</v>
      </c>
      <c r="J112" t="s">
        <v>53</v>
      </c>
      <c r="K112" t="s">
        <v>16</v>
      </c>
      <c r="L112" t="str" cm="1">
        <f t="array" ref="L112">_xlfn.IFS(B112="EN","Entry Level",B112="MI","Mid Level",B112="SE","Senior Level",B112="EX","Expert Level")</f>
        <v>Senior Level</v>
      </c>
      <c r="M112" t="str" cm="1">
        <f t="array" ref="M112">_xlfn.IFS(I112=100,"Full Remote",I112=50,"Hybrid",I112=0,"On-Site")</f>
        <v>Full Remote</v>
      </c>
    </row>
    <row r="113" spans="1:13" x14ac:dyDescent="0.2">
      <c r="A113">
        <v>2021</v>
      </c>
      <c r="B113" t="s">
        <v>11</v>
      </c>
      <c r="C113" t="s">
        <v>12</v>
      </c>
      <c r="D113" t="s">
        <v>18</v>
      </c>
      <c r="E113">
        <v>58000</v>
      </c>
      <c r="F113" t="s">
        <v>23</v>
      </c>
      <c r="G113">
        <v>58000</v>
      </c>
      <c r="H113" t="s">
        <v>20</v>
      </c>
      <c r="I113">
        <v>50</v>
      </c>
      <c r="J113" t="s">
        <v>20</v>
      </c>
      <c r="K113" t="s">
        <v>16</v>
      </c>
      <c r="L113" t="str" cm="1">
        <f t="array" ref="L113">_xlfn.IFS(B113="EN","Entry Level",B113="MI","Mid Level",B113="SE","Senior Level",B113="EX","Expert Level")</f>
        <v>Entry Level</v>
      </c>
      <c r="M113" t="str" cm="1">
        <f t="array" ref="M113">_xlfn.IFS(I113=100,"Full Remote",I113=50,"Hybrid",I113=0,"On-Site")</f>
        <v>Hybrid</v>
      </c>
    </row>
    <row r="114" spans="1:13" x14ac:dyDescent="0.2">
      <c r="A114">
        <v>2021</v>
      </c>
      <c r="B114" t="s">
        <v>11</v>
      </c>
      <c r="C114" t="s">
        <v>12</v>
      </c>
      <c r="D114" t="s">
        <v>18</v>
      </c>
      <c r="E114">
        <v>100000</v>
      </c>
      <c r="F114" t="s">
        <v>23</v>
      </c>
      <c r="G114">
        <v>100000</v>
      </c>
      <c r="H114" t="s">
        <v>20</v>
      </c>
      <c r="I114">
        <v>100</v>
      </c>
      <c r="J114" t="s">
        <v>20</v>
      </c>
      <c r="K114" t="s">
        <v>25</v>
      </c>
      <c r="L114" t="str" cm="1">
        <f t="array" ref="L114">_xlfn.IFS(B114="EN","Entry Level",B114="MI","Mid Level",B114="SE","Senior Level",B114="EX","Expert Level")</f>
        <v>Entry Level</v>
      </c>
      <c r="M114" t="str" cm="1">
        <f t="array" ref="M114">_xlfn.IFS(I114=100,"Full Remote",I114=50,"Hybrid",I114=0,"On-Site")</f>
        <v>Full Remote</v>
      </c>
    </row>
    <row r="115" spans="1:13" x14ac:dyDescent="0.2">
      <c r="A115">
        <v>2021</v>
      </c>
      <c r="B115" t="s">
        <v>17</v>
      </c>
      <c r="C115" t="s">
        <v>12</v>
      </c>
      <c r="D115" t="s">
        <v>18</v>
      </c>
      <c r="E115">
        <v>65720</v>
      </c>
      <c r="F115" t="s">
        <v>14</v>
      </c>
      <c r="G115">
        <v>78340</v>
      </c>
      <c r="H115" t="s">
        <v>33</v>
      </c>
      <c r="I115">
        <v>50</v>
      </c>
      <c r="J115" t="s">
        <v>33</v>
      </c>
      <c r="K115" t="s">
        <v>25</v>
      </c>
      <c r="L115" t="str" cm="1">
        <f t="array" ref="L115">_xlfn.IFS(B115="EN","Entry Level",B115="MI","Mid Level",B115="SE","Senior Level",B115="EX","Expert Level")</f>
        <v>Senior Level</v>
      </c>
      <c r="M115" t="str" cm="1">
        <f t="array" ref="M115">_xlfn.IFS(I115=100,"Full Remote",I115=50,"Hybrid",I115=0,"On-Site")</f>
        <v>Hybrid</v>
      </c>
    </row>
    <row r="116" spans="1:13" x14ac:dyDescent="0.2">
      <c r="A116">
        <v>2021</v>
      </c>
      <c r="B116" t="s">
        <v>11</v>
      </c>
      <c r="C116" t="s">
        <v>12</v>
      </c>
      <c r="D116" t="s">
        <v>27</v>
      </c>
      <c r="E116">
        <v>85000</v>
      </c>
      <c r="F116" t="s">
        <v>23</v>
      </c>
      <c r="G116">
        <v>85000</v>
      </c>
      <c r="H116" t="s">
        <v>84</v>
      </c>
      <c r="I116">
        <v>100</v>
      </c>
      <c r="J116" t="s">
        <v>15</v>
      </c>
      <c r="K116" t="s">
        <v>28</v>
      </c>
      <c r="L116" t="str" cm="1">
        <f t="array" ref="L116">_xlfn.IFS(B116="EN","Entry Level",B116="MI","Mid Level",B116="SE","Senior Level",B116="EX","Expert Level")</f>
        <v>Entry Level</v>
      </c>
      <c r="M116" t="str" cm="1">
        <f t="array" ref="M116">_xlfn.IFS(I116=100,"Full Remote",I116=50,"Hybrid",I116=0,"On-Site")</f>
        <v>Full Remote</v>
      </c>
    </row>
    <row r="117" spans="1:13" x14ac:dyDescent="0.2">
      <c r="A117">
        <v>2021</v>
      </c>
      <c r="B117" t="s">
        <v>11</v>
      </c>
      <c r="C117" t="s">
        <v>12</v>
      </c>
      <c r="D117" t="s">
        <v>13</v>
      </c>
      <c r="E117">
        <v>65000</v>
      </c>
      <c r="F117" t="s">
        <v>14</v>
      </c>
      <c r="G117">
        <v>77481</v>
      </c>
      <c r="H117" t="s">
        <v>15</v>
      </c>
      <c r="I117">
        <v>0</v>
      </c>
      <c r="J117" t="s">
        <v>15</v>
      </c>
      <c r="K117" t="s">
        <v>16</v>
      </c>
      <c r="L117" t="str" cm="1">
        <f t="array" ref="L117">_xlfn.IFS(B117="EN","Entry Level",B117="MI","Mid Level",B117="SE","Senior Level",B117="EX","Expert Level")</f>
        <v>Entry Level</v>
      </c>
      <c r="M117" t="str" cm="1">
        <f t="array" ref="M117">_xlfn.IFS(I117=100,"Full Remote",I117=50,"Hybrid",I117=0,"On-Site")</f>
        <v>On-Site</v>
      </c>
    </row>
    <row r="118" spans="1:13" x14ac:dyDescent="0.2">
      <c r="A118">
        <v>2021</v>
      </c>
      <c r="B118" t="s">
        <v>17</v>
      </c>
      <c r="C118" t="s">
        <v>49</v>
      </c>
      <c r="D118" t="s">
        <v>92</v>
      </c>
      <c r="E118">
        <v>105000</v>
      </c>
      <c r="F118" t="s">
        <v>23</v>
      </c>
      <c r="G118">
        <v>105000</v>
      </c>
      <c r="H118" t="s">
        <v>20</v>
      </c>
      <c r="I118">
        <v>100</v>
      </c>
      <c r="J118" t="s">
        <v>20</v>
      </c>
      <c r="K118" t="s">
        <v>25</v>
      </c>
      <c r="L118" t="str" cm="1">
        <f t="array" ref="L118">_xlfn.IFS(B118="EN","Entry Level",B118="MI","Mid Level",B118="SE","Senior Level",B118="EX","Expert Level")</f>
        <v>Senior Level</v>
      </c>
      <c r="M118" t="str" cm="1">
        <f t="array" ref="M118">_xlfn.IFS(I118=100,"Full Remote",I118=50,"Hybrid",I118=0,"On-Site")</f>
        <v>Full Remote</v>
      </c>
    </row>
    <row r="119" spans="1:13" x14ac:dyDescent="0.2">
      <c r="A119">
        <v>2020</v>
      </c>
      <c r="B119" t="s">
        <v>11</v>
      </c>
      <c r="C119" t="s">
        <v>12</v>
      </c>
      <c r="D119" t="s">
        <v>32</v>
      </c>
      <c r="E119">
        <v>72000</v>
      </c>
      <c r="F119" t="s">
        <v>23</v>
      </c>
      <c r="G119">
        <v>72000</v>
      </c>
      <c r="H119" t="s">
        <v>20</v>
      </c>
      <c r="I119">
        <v>100</v>
      </c>
      <c r="J119" t="s">
        <v>20</v>
      </c>
      <c r="K119" t="s">
        <v>16</v>
      </c>
      <c r="L119" t="str" cm="1">
        <f t="array" ref="L119">_xlfn.IFS(B119="EN","Entry Level",B119="MI","Mid Level",B119="SE","Senior Level",B119="EX","Expert Level")</f>
        <v>Entry Level</v>
      </c>
      <c r="M119" t="str" cm="1">
        <f t="array" ref="M119">_xlfn.IFS(I119=100,"Full Remote",I119=50,"Hybrid",I119=0,"On-Site")</f>
        <v>Full Remote</v>
      </c>
    </row>
    <row r="120" spans="1:13" x14ac:dyDescent="0.2">
      <c r="A120">
        <v>2021</v>
      </c>
      <c r="B120" t="s">
        <v>11</v>
      </c>
      <c r="C120" t="s">
        <v>12</v>
      </c>
      <c r="D120" t="s">
        <v>34</v>
      </c>
      <c r="E120">
        <v>55000</v>
      </c>
      <c r="F120" t="s">
        <v>14</v>
      </c>
      <c r="G120">
        <v>65561</v>
      </c>
      <c r="H120" t="s">
        <v>15</v>
      </c>
      <c r="I120">
        <v>50</v>
      </c>
      <c r="J120" t="s">
        <v>15</v>
      </c>
      <c r="K120" t="s">
        <v>25</v>
      </c>
      <c r="L120" t="str" cm="1">
        <f t="array" ref="L120">_xlfn.IFS(B120="EN","Entry Level",B120="MI","Mid Level",B120="SE","Senior Level",B120="EX","Expert Level")</f>
        <v>Entry Level</v>
      </c>
      <c r="M120" t="str" cm="1">
        <f t="array" ref="M120">_xlfn.IFS(I120=100,"Full Remote",I120=50,"Hybrid",I120=0,"On-Site")</f>
        <v>Hybrid</v>
      </c>
    </row>
    <row r="121" spans="1:13" x14ac:dyDescent="0.2">
      <c r="A121">
        <v>2021</v>
      </c>
      <c r="B121" t="s">
        <v>30</v>
      </c>
      <c r="C121" t="s">
        <v>12</v>
      </c>
      <c r="D121" t="s">
        <v>34</v>
      </c>
      <c r="E121">
        <v>250000</v>
      </c>
      <c r="F121" t="s">
        <v>81</v>
      </c>
      <c r="G121">
        <v>30337</v>
      </c>
      <c r="H121" t="s">
        <v>82</v>
      </c>
      <c r="I121">
        <v>100</v>
      </c>
      <c r="J121" t="s">
        <v>82</v>
      </c>
      <c r="K121" t="s">
        <v>25</v>
      </c>
      <c r="L121" t="str" cm="1">
        <f t="array" ref="L121">_xlfn.IFS(B121="EN","Entry Level",B121="MI","Mid Level",B121="SE","Senior Level",B121="EX","Expert Level")</f>
        <v>Mid Level</v>
      </c>
      <c r="M121" t="str" cm="1">
        <f t="array" ref="M121">_xlfn.IFS(I121=100,"Full Remote",I121=50,"Hybrid",I121=0,"On-Site")</f>
        <v>Full Remote</v>
      </c>
    </row>
    <row r="122" spans="1:13" x14ac:dyDescent="0.2">
      <c r="A122">
        <v>2021</v>
      </c>
      <c r="B122" t="s">
        <v>30</v>
      </c>
      <c r="C122" t="s">
        <v>12</v>
      </c>
      <c r="D122" t="s">
        <v>34</v>
      </c>
      <c r="E122">
        <v>111775</v>
      </c>
      <c r="F122" t="s">
        <v>23</v>
      </c>
      <c r="G122">
        <v>111775</v>
      </c>
      <c r="H122" t="s">
        <v>20</v>
      </c>
      <c r="I122">
        <v>0</v>
      </c>
      <c r="J122" t="s">
        <v>20</v>
      </c>
      <c r="K122" t="s">
        <v>25</v>
      </c>
      <c r="L122" t="str" cm="1">
        <f t="array" ref="L122">_xlfn.IFS(B122="EN","Entry Level",B122="MI","Mid Level",B122="SE","Senior Level",B122="EX","Expert Level")</f>
        <v>Mid Level</v>
      </c>
      <c r="M122" t="str" cm="1">
        <f t="array" ref="M122">_xlfn.IFS(I122=100,"Full Remote",I122=50,"Hybrid",I122=0,"On-Site")</f>
        <v>On-Site</v>
      </c>
    </row>
    <row r="123" spans="1:13" x14ac:dyDescent="0.2">
      <c r="A123">
        <v>2021</v>
      </c>
      <c r="B123" t="s">
        <v>30</v>
      </c>
      <c r="C123" t="s">
        <v>12</v>
      </c>
      <c r="D123" t="s">
        <v>34</v>
      </c>
      <c r="E123">
        <v>93150</v>
      </c>
      <c r="F123" t="s">
        <v>23</v>
      </c>
      <c r="G123">
        <v>93150</v>
      </c>
      <c r="H123" t="s">
        <v>20</v>
      </c>
      <c r="I123">
        <v>0</v>
      </c>
      <c r="J123" t="s">
        <v>20</v>
      </c>
      <c r="K123" t="s">
        <v>25</v>
      </c>
      <c r="L123" t="str" cm="1">
        <f t="array" ref="L123">_xlfn.IFS(B123="EN","Entry Level",B123="MI","Mid Level",B123="SE","Senior Level",B123="EX","Expert Level")</f>
        <v>Mid Level</v>
      </c>
      <c r="M123" t="str" cm="1">
        <f t="array" ref="M123">_xlfn.IFS(I123=100,"Full Remote",I123=50,"Hybrid",I123=0,"On-Site")</f>
        <v>On-Site</v>
      </c>
    </row>
    <row r="124" spans="1:13" x14ac:dyDescent="0.2">
      <c r="A124">
        <v>2021</v>
      </c>
      <c r="B124" t="s">
        <v>17</v>
      </c>
      <c r="C124" t="s">
        <v>12</v>
      </c>
      <c r="D124" t="s">
        <v>68</v>
      </c>
      <c r="E124">
        <v>160000</v>
      </c>
      <c r="F124" t="s">
        <v>23</v>
      </c>
      <c r="G124">
        <v>160000</v>
      </c>
      <c r="H124" t="s">
        <v>93</v>
      </c>
      <c r="I124">
        <v>50</v>
      </c>
      <c r="J124" t="s">
        <v>20</v>
      </c>
      <c r="K124" t="s">
        <v>28</v>
      </c>
      <c r="L124" t="str" cm="1">
        <f t="array" ref="L124">_xlfn.IFS(B124="EN","Entry Level",B124="MI","Mid Level",B124="SE","Senior Level",B124="EX","Expert Level")</f>
        <v>Senior Level</v>
      </c>
      <c r="M124" t="str" cm="1">
        <f t="array" ref="M124">_xlfn.IFS(I124=100,"Full Remote",I124=50,"Hybrid",I124=0,"On-Site")</f>
        <v>Hybrid</v>
      </c>
    </row>
    <row r="125" spans="1:13" x14ac:dyDescent="0.2">
      <c r="A125">
        <v>2021</v>
      </c>
      <c r="B125" t="s">
        <v>30</v>
      </c>
      <c r="C125" t="s">
        <v>12</v>
      </c>
      <c r="D125" t="s">
        <v>18</v>
      </c>
      <c r="E125">
        <v>21600</v>
      </c>
      <c r="F125" t="s">
        <v>14</v>
      </c>
      <c r="G125">
        <v>25747</v>
      </c>
      <c r="H125" t="s">
        <v>94</v>
      </c>
      <c r="I125">
        <v>100</v>
      </c>
      <c r="J125" t="s">
        <v>15</v>
      </c>
      <c r="K125" t="s">
        <v>28</v>
      </c>
      <c r="L125" t="str" cm="1">
        <f t="array" ref="L125">_xlfn.IFS(B125="EN","Entry Level",B125="MI","Mid Level",B125="SE","Senior Level",B125="EX","Expert Level")</f>
        <v>Mid Level</v>
      </c>
      <c r="M125" t="str" cm="1">
        <f t="array" ref="M125">_xlfn.IFS(I125=100,"Full Remote",I125=50,"Hybrid",I125=0,"On-Site")</f>
        <v>Full Remote</v>
      </c>
    </row>
    <row r="126" spans="1:13" x14ac:dyDescent="0.2">
      <c r="A126">
        <v>2021</v>
      </c>
      <c r="B126" t="s">
        <v>17</v>
      </c>
      <c r="C126" t="s">
        <v>12</v>
      </c>
      <c r="D126" t="s">
        <v>27</v>
      </c>
      <c r="E126">
        <v>4900000</v>
      </c>
      <c r="F126" t="s">
        <v>47</v>
      </c>
      <c r="G126">
        <v>66442</v>
      </c>
      <c r="H126" t="s">
        <v>48</v>
      </c>
      <c r="I126">
        <v>0</v>
      </c>
      <c r="J126" t="s">
        <v>48</v>
      </c>
      <c r="K126" t="s">
        <v>16</v>
      </c>
      <c r="L126" t="str" cm="1">
        <f t="array" ref="L126">_xlfn.IFS(B126="EN","Entry Level",B126="MI","Mid Level",B126="SE","Senior Level",B126="EX","Expert Level")</f>
        <v>Senior Level</v>
      </c>
      <c r="M126" t="str" cm="1">
        <f t="array" ref="M126">_xlfn.IFS(I126=100,"Full Remote",I126=50,"Hybrid",I126=0,"On-Site")</f>
        <v>On-Site</v>
      </c>
    </row>
    <row r="127" spans="1:13" x14ac:dyDescent="0.2">
      <c r="A127">
        <v>2021</v>
      </c>
      <c r="B127" t="s">
        <v>30</v>
      </c>
      <c r="C127" t="s">
        <v>12</v>
      </c>
      <c r="D127" t="s">
        <v>18</v>
      </c>
      <c r="E127">
        <v>1250000</v>
      </c>
      <c r="F127" t="s">
        <v>47</v>
      </c>
      <c r="G127">
        <v>16949</v>
      </c>
      <c r="H127" t="s">
        <v>48</v>
      </c>
      <c r="I127">
        <v>100</v>
      </c>
      <c r="J127" t="s">
        <v>48</v>
      </c>
      <c r="K127" t="s">
        <v>28</v>
      </c>
      <c r="L127" t="str" cm="1">
        <f t="array" ref="L127">_xlfn.IFS(B127="EN","Entry Level",B127="MI","Mid Level",B127="SE","Senior Level",B127="EX","Expert Level")</f>
        <v>Mid Level</v>
      </c>
      <c r="M127" t="str" cm="1">
        <f t="array" ref="M127">_xlfn.IFS(I127=100,"Full Remote",I127=50,"Hybrid",I127=0,"On-Site")</f>
        <v>Full Remote</v>
      </c>
    </row>
    <row r="128" spans="1:13" x14ac:dyDescent="0.2">
      <c r="A128">
        <v>2021</v>
      </c>
      <c r="B128" t="s">
        <v>17</v>
      </c>
      <c r="C128" t="s">
        <v>12</v>
      </c>
      <c r="D128" t="s">
        <v>32</v>
      </c>
      <c r="E128">
        <v>54000</v>
      </c>
      <c r="F128" t="s">
        <v>14</v>
      </c>
      <c r="G128">
        <v>64369</v>
      </c>
      <c r="H128" t="s">
        <v>15</v>
      </c>
      <c r="I128">
        <v>50</v>
      </c>
      <c r="J128" t="s">
        <v>15</v>
      </c>
      <c r="K128" t="s">
        <v>16</v>
      </c>
      <c r="L128" t="str" cm="1">
        <f t="array" ref="L128">_xlfn.IFS(B128="EN","Entry Level",B128="MI","Mid Level",B128="SE","Senior Level",B128="EX","Expert Level")</f>
        <v>Senior Level</v>
      </c>
      <c r="M128" t="str" cm="1">
        <f t="array" ref="M128">_xlfn.IFS(I128=100,"Full Remote",I128=50,"Hybrid",I128=0,"On-Site")</f>
        <v>Hybrid</v>
      </c>
    </row>
    <row r="129" spans="1:13" x14ac:dyDescent="0.2">
      <c r="A129">
        <v>2020</v>
      </c>
      <c r="B129" t="s">
        <v>17</v>
      </c>
      <c r="C129" t="s">
        <v>12</v>
      </c>
      <c r="D129" t="s">
        <v>85</v>
      </c>
      <c r="E129">
        <v>190000</v>
      </c>
      <c r="F129" t="s">
        <v>23</v>
      </c>
      <c r="G129">
        <v>190000</v>
      </c>
      <c r="H129" t="s">
        <v>20</v>
      </c>
      <c r="I129">
        <v>100</v>
      </c>
      <c r="J129" t="s">
        <v>20</v>
      </c>
      <c r="K129" t="s">
        <v>28</v>
      </c>
      <c r="L129" t="str" cm="1">
        <f t="array" ref="L129">_xlfn.IFS(B129="EN","Entry Level",B129="MI","Mid Level",B129="SE","Senior Level",B129="EX","Expert Level")</f>
        <v>Senior Level</v>
      </c>
      <c r="M129" t="str" cm="1">
        <f t="array" ref="M129">_xlfn.IFS(I129=100,"Full Remote",I129=50,"Hybrid",I129=0,"On-Site")</f>
        <v>Full Remote</v>
      </c>
    </row>
    <row r="130" spans="1:13" x14ac:dyDescent="0.2">
      <c r="A130">
        <v>2021</v>
      </c>
      <c r="B130" t="s">
        <v>21</v>
      </c>
      <c r="C130" t="s">
        <v>12</v>
      </c>
      <c r="D130" t="s">
        <v>54</v>
      </c>
      <c r="E130">
        <v>120000</v>
      </c>
      <c r="F130" t="s">
        <v>14</v>
      </c>
      <c r="G130">
        <v>143043</v>
      </c>
      <c r="H130" t="s">
        <v>15</v>
      </c>
      <c r="I130">
        <v>0</v>
      </c>
      <c r="J130" t="s">
        <v>15</v>
      </c>
      <c r="K130" t="s">
        <v>16</v>
      </c>
      <c r="L130" t="str" cm="1">
        <f t="array" ref="L130">_xlfn.IFS(B130="EN","Entry Level",B130="MI","Mid Level",B130="SE","Senior Level",B130="EX","Expert Level")</f>
        <v>Expert Level</v>
      </c>
      <c r="M130" t="str" cm="1">
        <f t="array" ref="M130">_xlfn.IFS(I130=100,"Full Remote",I130=50,"Hybrid",I130=0,"On-Site")</f>
        <v>On-Site</v>
      </c>
    </row>
    <row r="131" spans="1:13" x14ac:dyDescent="0.2">
      <c r="A131">
        <v>2021</v>
      </c>
      <c r="B131" t="s">
        <v>11</v>
      </c>
      <c r="C131" t="s">
        <v>12</v>
      </c>
      <c r="D131" t="s">
        <v>89</v>
      </c>
      <c r="E131">
        <v>1200000</v>
      </c>
      <c r="F131" t="s">
        <v>47</v>
      </c>
      <c r="G131">
        <v>16271</v>
      </c>
      <c r="H131" t="s">
        <v>48</v>
      </c>
      <c r="I131">
        <v>100</v>
      </c>
      <c r="J131" t="s">
        <v>48</v>
      </c>
      <c r="K131" t="s">
        <v>16</v>
      </c>
      <c r="L131" t="str" cm="1">
        <f t="array" ref="L131">_xlfn.IFS(B131="EN","Entry Level",B131="MI","Mid Level",B131="SE","Senior Level",B131="EX","Expert Level")</f>
        <v>Entry Level</v>
      </c>
      <c r="M131" t="str" cm="1">
        <f t="array" ref="M131">_xlfn.IFS(I131=100,"Full Remote",I131=50,"Hybrid",I131=0,"On-Site")</f>
        <v>Full Remote</v>
      </c>
    </row>
    <row r="132" spans="1:13" x14ac:dyDescent="0.2">
      <c r="A132">
        <v>2021</v>
      </c>
      <c r="B132" t="s">
        <v>17</v>
      </c>
      <c r="C132" t="s">
        <v>12</v>
      </c>
      <c r="D132" t="s">
        <v>32</v>
      </c>
      <c r="E132">
        <v>90000</v>
      </c>
      <c r="F132" t="s">
        <v>37</v>
      </c>
      <c r="G132">
        <v>71968</v>
      </c>
      <c r="H132" t="s">
        <v>38</v>
      </c>
      <c r="I132">
        <v>100</v>
      </c>
      <c r="J132" t="s">
        <v>38</v>
      </c>
      <c r="K132" t="s">
        <v>25</v>
      </c>
      <c r="L132" t="str" cm="1">
        <f t="array" ref="L132">_xlfn.IFS(B132="EN","Entry Level",B132="MI","Mid Level",B132="SE","Senior Level",B132="EX","Expert Level")</f>
        <v>Senior Level</v>
      </c>
      <c r="M132" t="str" cm="1">
        <f t="array" ref="M132">_xlfn.IFS(I132=100,"Full Remote",I132=50,"Hybrid",I132=0,"On-Site")</f>
        <v>Full Remote</v>
      </c>
    </row>
    <row r="133" spans="1:13" x14ac:dyDescent="0.2">
      <c r="A133">
        <v>2020</v>
      </c>
      <c r="B133" t="s">
        <v>30</v>
      </c>
      <c r="C133" t="s">
        <v>12</v>
      </c>
      <c r="D133" t="s">
        <v>18</v>
      </c>
      <c r="E133">
        <v>11000000</v>
      </c>
      <c r="F133" t="s">
        <v>70</v>
      </c>
      <c r="G133">
        <v>35735</v>
      </c>
      <c r="H133" t="s">
        <v>71</v>
      </c>
      <c r="I133">
        <v>50</v>
      </c>
      <c r="J133" t="s">
        <v>71</v>
      </c>
      <c r="K133" t="s">
        <v>16</v>
      </c>
      <c r="L133" t="str" cm="1">
        <f t="array" ref="L133">_xlfn.IFS(B133="EN","Entry Level",B133="MI","Mid Level",B133="SE","Senior Level",B133="EX","Expert Level")</f>
        <v>Mid Level</v>
      </c>
      <c r="M133" t="str" cm="1">
        <f t="array" ref="M133">_xlfn.IFS(I133=100,"Full Remote",I133=50,"Hybrid",I133=0,"On-Site")</f>
        <v>Hybrid</v>
      </c>
    </row>
    <row r="134" spans="1:13" x14ac:dyDescent="0.2">
      <c r="A134">
        <v>2021</v>
      </c>
      <c r="B134" t="s">
        <v>17</v>
      </c>
      <c r="C134" t="s">
        <v>12</v>
      </c>
      <c r="D134" t="s">
        <v>18</v>
      </c>
      <c r="E134">
        <v>135000</v>
      </c>
      <c r="F134" t="s">
        <v>23</v>
      </c>
      <c r="G134">
        <v>135000</v>
      </c>
      <c r="H134" t="s">
        <v>20</v>
      </c>
      <c r="I134">
        <v>0</v>
      </c>
      <c r="J134" t="s">
        <v>20</v>
      </c>
      <c r="K134" t="s">
        <v>16</v>
      </c>
      <c r="L134" t="str" cm="1">
        <f t="array" ref="L134">_xlfn.IFS(B134="EN","Entry Level",B134="MI","Mid Level",B134="SE","Senior Level",B134="EX","Expert Level")</f>
        <v>Senior Level</v>
      </c>
      <c r="M134" t="str" cm="1">
        <f t="array" ref="M134">_xlfn.IFS(I134=100,"Full Remote",I134=50,"Hybrid",I134=0,"On-Site")</f>
        <v>On-Site</v>
      </c>
    </row>
    <row r="135" spans="1:13" x14ac:dyDescent="0.2">
      <c r="A135">
        <v>2021</v>
      </c>
      <c r="B135" t="s">
        <v>11</v>
      </c>
      <c r="C135" t="s">
        <v>12</v>
      </c>
      <c r="D135" t="s">
        <v>27</v>
      </c>
      <c r="E135">
        <v>21000</v>
      </c>
      <c r="F135" t="s">
        <v>14</v>
      </c>
      <c r="G135">
        <v>25032</v>
      </c>
      <c r="H135" t="s">
        <v>15</v>
      </c>
      <c r="I135">
        <v>50</v>
      </c>
      <c r="J135" t="s">
        <v>15</v>
      </c>
      <c r="K135" t="s">
        <v>25</v>
      </c>
      <c r="L135" t="str" cm="1">
        <f t="array" ref="L135">_xlfn.IFS(B135="EN","Entry Level",B135="MI","Mid Level",B135="SE","Senior Level",B135="EX","Expert Level")</f>
        <v>Entry Level</v>
      </c>
      <c r="M135" t="str" cm="1">
        <f t="array" ref="M135">_xlfn.IFS(I135=100,"Full Remote",I135=50,"Hybrid",I135=0,"On-Site")</f>
        <v>Hybrid</v>
      </c>
    </row>
    <row r="136" spans="1:13" x14ac:dyDescent="0.2">
      <c r="A136">
        <v>2021</v>
      </c>
      <c r="B136" t="s">
        <v>17</v>
      </c>
      <c r="C136" t="s">
        <v>12</v>
      </c>
      <c r="D136" t="s">
        <v>95</v>
      </c>
      <c r="E136">
        <v>4000000</v>
      </c>
      <c r="F136" t="s">
        <v>47</v>
      </c>
      <c r="G136">
        <v>54238</v>
      </c>
      <c r="H136" t="s">
        <v>48</v>
      </c>
      <c r="I136">
        <v>50</v>
      </c>
      <c r="J136" t="s">
        <v>20</v>
      </c>
      <c r="K136" t="s">
        <v>16</v>
      </c>
      <c r="L136" t="str" cm="1">
        <f t="array" ref="L136">_xlfn.IFS(B136="EN","Entry Level",B136="MI","Mid Level",B136="SE","Senior Level",B136="EX","Expert Level")</f>
        <v>Senior Level</v>
      </c>
      <c r="M136" t="str" cm="1">
        <f t="array" ref="M136">_xlfn.IFS(I136=100,"Full Remote",I136=50,"Hybrid",I136=0,"On-Site")</f>
        <v>Hybrid</v>
      </c>
    </row>
    <row r="137" spans="1:13" x14ac:dyDescent="0.2">
      <c r="A137">
        <v>2021</v>
      </c>
      <c r="B137" t="s">
        <v>17</v>
      </c>
      <c r="C137" t="s">
        <v>12</v>
      </c>
      <c r="D137" t="s">
        <v>27</v>
      </c>
      <c r="E137">
        <v>1799997</v>
      </c>
      <c r="F137" t="s">
        <v>47</v>
      </c>
      <c r="G137">
        <v>24407</v>
      </c>
      <c r="H137" t="s">
        <v>48</v>
      </c>
      <c r="I137">
        <v>100</v>
      </c>
      <c r="J137" t="s">
        <v>48</v>
      </c>
      <c r="K137" t="s">
        <v>16</v>
      </c>
      <c r="L137" t="str" cm="1">
        <f t="array" ref="L137">_xlfn.IFS(B137="EN","Entry Level",B137="MI","Mid Level",B137="SE","Senior Level",B137="EX","Expert Level")</f>
        <v>Senior Level</v>
      </c>
      <c r="M137" t="str" cm="1">
        <f t="array" ref="M137">_xlfn.IFS(I137=100,"Full Remote",I137=50,"Hybrid",I137=0,"On-Site")</f>
        <v>Full Remote</v>
      </c>
    </row>
    <row r="138" spans="1:13" x14ac:dyDescent="0.2">
      <c r="A138">
        <v>2021</v>
      </c>
      <c r="B138" t="s">
        <v>11</v>
      </c>
      <c r="C138" t="s">
        <v>12</v>
      </c>
      <c r="D138" t="s">
        <v>63</v>
      </c>
      <c r="E138">
        <v>9272</v>
      </c>
      <c r="F138" t="s">
        <v>23</v>
      </c>
      <c r="G138">
        <v>9272</v>
      </c>
      <c r="H138" t="s">
        <v>96</v>
      </c>
      <c r="I138">
        <v>100</v>
      </c>
      <c r="J138" t="s">
        <v>96</v>
      </c>
      <c r="K138" t="s">
        <v>28</v>
      </c>
      <c r="L138" t="str" cm="1">
        <f t="array" ref="L138">_xlfn.IFS(B138="EN","Entry Level",B138="MI","Mid Level",B138="SE","Senior Level",B138="EX","Expert Level")</f>
        <v>Entry Level</v>
      </c>
      <c r="M138" t="str" cm="1">
        <f t="array" ref="M138">_xlfn.IFS(I138=100,"Full Remote",I138=50,"Hybrid",I138=0,"On-Site")</f>
        <v>Full Remote</v>
      </c>
    </row>
    <row r="139" spans="1:13" x14ac:dyDescent="0.2">
      <c r="A139">
        <v>2021</v>
      </c>
      <c r="B139" t="s">
        <v>30</v>
      </c>
      <c r="C139" t="s">
        <v>12</v>
      </c>
      <c r="D139" t="s">
        <v>18</v>
      </c>
      <c r="E139">
        <v>147000</v>
      </c>
      <c r="F139" t="s">
        <v>23</v>
      </c>
      <c r="G139">
        <v>147000</v>
      </c>
      <c r="H139" t="s">
        <v>20</v>
      </c>
      <c r="I139">
        <v>50</v>
      </c>
      <c r="J139" t="s">
        <v>20</v>
      </c>
      <c r="K139" t="s">
        <v>16</v>
      </c>
      <c r="L139" t="str" cm="1">
        <f t="array" ref="L139">_xlfn.IFS(B139="EN","Entry Level",B139="MI","Mid Level",B139="SE","Senior Level",B139="EX","Expert Level")</f>
        <v>Mid Level</v>
      </c>
      <c r="M139" t="str" cm="1">
        <f t="array" ref="M139">_xlfn.IFS(I139=100,"Full Remote",I139=50,"Hybrid",I139=0,"On-Site")</f>
        <v>Hybrid</v>
      </c>
    </row>
    <row r="140" spans="1:13" x14ac:dyDescent="0.2">
      <c r="A140">
        <v>2021</v>
      </c>
      <c r="B140" t="s">
        <v>17</v>
      </c>
      <c r="C140" t="s">
        <v>12</v>
      </c>
      <c r="D140" t="s">
        <v>31</v>
      </c>
      <c r="E140">
        <v>120500</v>
      </c>
      <c r="F140" t="s">
        <v>37</v>
      </c>
      <c r="G140">
        <v>96357</v>
      </c>
      <c r="H140" t="s">
        <v>38</v>
      </c>
      <c r="I140">
        <v>50</v>
      </c>
      <c r="J140" t="s">
        <v>38</v>
      </c>
      <c r="K140" t="s">
        <v>16</v>
      </c>
      <c r="L140" t="str" cm="1">
        <f t="array" ref="L140">_xlfn.IFS(B140="EN","Entry Level",B140="MI","Mid Level",B140="SE","Senior Level",B140="EX","Expert Level")</f>
        <v>Senior Level</v>
      </c>
      <c r="M140" t="str" cm="1">
        <f t="array" ref="M140">_xlfn.IFS(I140=100,"Full Remote",I140=50,"Hybrid",I140=0,"On-Site")</f>
        <v>Hybrid</v>
      </c>
    </row>
    <row r="141" spans="1:13" x14ac:dyDescent="0.2">
      <c r="A141">
        <v>2021</v>
      </c>
      <c r="B141" t="s">
        <v>17</v>
      </c>
      <c r="C141" t="s">
        <v>12</v>
      </c>
      <c r="D141" t="s">
        <v>95</v>
      </c>
      <c r="E141">
        <v>174000</v>
      </c>
      <c r="F141" t="s">
        <v>23</v>
      </c>
      <c r="G141">
        <v>174000</v>
      </c>
      <c r="H141" t="s">
        <v>20</v>
      </c>
      <c r="I141">
        <v>100</v>
      </c>
      <c r="J141" t="s">
        <v>20</v>
      </c>
      <c r="K141" t="s">
        <v>16</v>
      </c>
      <c r="L141" t="str" cm="1">
        <f t="array" ref="L141">_xlfn.IFS(B141="EN","Entry Level",B141="MI","Mid Level",B141="SE","Senior Level",B141="EX","Expert Level")</f>
        <v>Senior Level</v>
      </c>
      <c r="M141" t="str" cm="1">
        <f t="array" ref="M141">_xlfn.IFS(I141=100,"Full Remote",I141=50,"Hybrid",I141=0,"On-Site")</f>
        <v>Full Remote</v>
      </c>
    </row>
    <row r="142" spans="1:13" x14ac:dyDescent="0.2">
      <c r="A142">
        <v>2020</v>
      </c>
      <c r="B142" t="s">
        <v>30</v>
      </c>
      <c r="C142" t="s">
        <v>12</v>
      </c>
      <c r="D142" t="s">
        <v>97</v>
      </c>
      <c r="E142">
        <v>135000</v>
      </c>
      <c r="F142" t="s">
        <v>23</v>
      </c>
      <c r="G142">
        <v>135000</v>
      </c>
      <c r="H142" t="s">
        <v>20</v>
      </c>
      <c r="I142">
        <v>100</v>
      </c>
      <c r="J142" t="s">
        <v>20</v>
      </c>
      <c r="K142" t="s">
        <v>16</v>
      </c>
      <c r="L142" t="str" cm="1">
        <f t="array" ref="L142">_xlfn.IFS(B142="EN","Entry Level",B142="MI","Mid Level",B142="SE","Senior Level",B142="EX","Expert Level")</f>
        <v>Mid Level</v>
      </c>
      <c r="M142" t="str" cm="1">
        <f t="array" ref="M142">_xlfn.IFS(I142=100,"Full Remote",I142=50,"Hybrid",I142=0,"On-Site")</f>
        <v>Full Remote</v>
      </c>
    </row>
    <row r="143" spans="1:13" x14ac:dyDescent="0.2">
      <c r="A143">
        <v>2021</v>
      </c>
      <c r="B143" t="s">
        <v>11</v>
      </c>
      <c r="C143" t="s">
        <v>12</v>
      </c>
      <c r="D143" t="s">
        <v>27</v>
      </c>
      <c r="E143">
        <v>21844</v>
      </c>
      <c r="F143" t="s">
        <v>23</v>
      </c>
      <c r="G143">
        <v>21844</v>
      </c>
      <c r="H143" t="s">
        <v>98</v>
      </c>
      <c r="I143">
        <v>50</v>
      </c>
      <c r="J143" t="s">
        <v>98</v>
      </c>
      <c r="K143" t="s">
        <v>25</v>
      </c>
      <c r="L143" t="str" cm="1">
        <f t="array" ref="L143">_xlfn.IFS(B143="EN","Entry Level",B143="MI","Mid Level",B143="SE","Senior Level",B143="EX","Expert Level")</f>
        <v>Entry Level</v>
      </c>
      <c r="M143" t="str" cm="1">
        <f t="array" ref="M143">_xlfn.IFS(I143=100,"Full Remote",I143=50,"Hybrid",I143=0,"On-Site")</f>
        <v>Hybrid</v>
      </c>
    </row>
    <row r="144" spans="1:13" x14ac:dyDescent="0.2">
      <c r="A144">
        <v>2020</v>
      </c>
      <c r="B144" t="s">
        <v>17</v>
      </c>
      <c r="C144" t="s">
        <v>12</v>
      </c>
      <c r="D144" t="s">
        <v>68</v>
      </c>
      <c r="E144">
        <v>125000</v>
      </c>
      <c r="F144" t="s">
        <v>23</v>
      </c>
      <c r="G144">
        <v>125000</v>
      </c>
      <c r="H144" t="s">
        <v>99</v>
      </c>
      <c r="I144">
        <v>50</v>
      </c>
      <c r="J144" t="s">
        <v>99</v>
      </c>
      <c r="K144" t="s">
        <v>28</v>
      </c>
      <c r="L144" t="str" cm="1">
        <f t="array" ref="L144">_xlfn.IFS(B144="EN","Entry Level",B144="MI","Mid Level",B144="SE","Senior Level",B144="EX","Expert Level")</f>
        <v>Senior Level</v>
      </c>
      <c r="M144" t="str" cm="1">
        <f t="array" ref="M144">_xlfn.IFS(I144=100,"Full Remote",I144=50,"Hybrid",I144=0,"On-Site")</f>
        <v>Hybrid</v>
      </c>
    </row>
    <row r="145" spans="1:13" x14ac:dyDescent="0.2">
      <c r="A145">
        <v>2020</v>
      </c>
      <c r="B145" t="s">
        <v>11</v>
      </c>
      <c r="C145" t="s">
        <v>12</v>
      </c>
      <c r="D145" t="s">
        <v>18</v>
      </c>
      <c r="E145">
        <v>45000</v>
      </c>
      <c r="F145" t="s">
        <v>14</v>
      </c>
      <c r="G145">
        <v>51321</v>
      </c>
      <c r="H145" t="s">
        <v>33</v>
      </c>
      <c r="I145">
        <v>0</v>
      </c>
      <c r="J145" t="s">
        <v>33</v>
      </c>
      <c r="K145" t="s">
        <v>28</v>
      </c>
      <c r="L145" t="str" cm="1">
        <f t="array" ref="L145">_xlfn.IFS(B145="EN","Entry Level",B145="MI","Mid Level",B145="SE","Senior Level",B145="EX","Expert Level")</f>
        <v>Entry Level</v>
      </c>
      <c r="M145" t="str" cm="1">
        <f t="array" ref="M145">_xlfn.IFS(I145=100,"Full Remote",I145=50,"Hybrid",I145=0,"On-Site")</f>
        <v>On-Site</v>
      </c>
    </row>
    <row r="146" spans="1:13" x14ac:dyDescent="0.2">
      <c r="A146">
        <v>2020</v>
      </c>
      <c r="B146" t="s">
        <v>30</v>
      </c>
      <c r="C146" t="s">
        <v>12</v>
      </c>
      <c r="D146" t="s">
        <v>18</v>
      </c>
      <c r="E146">
        <v>3000000</v>
      </c>
      <c r="F146" t="s">
        <v>47</v>
      </c>
      <c r="G146">
        <v>40481</v>
      </c>
      <c r="H146" t="s">
        <v>48</v>
      </c>
      <c r="I146">
        <v>0</v>
      </c>
      <c r="J146" t="s">
        <v>48</v>
      </c>
      <c r="K146" t="s">
        <v>16</v>
      </c>
      <c r="L146" t="str" cm="1">
        <f t="array" ref="L146">_xlfn.IFS(B146="EN","Entry Level",B146="MI","Mid Level",B146="SE","Senior Level",B146="EX","Expert Level")</f>
        <v>Mid Level</v>
      </c>
      <c r="M146" t="str" cm="1">
        <f t="array" ref="M146">_xlfn.IFS(I146=100,"Full Remote",I146=50,"Hybrid",I146=0,"On-Site")</f>
        <v>On-Site</v>
      </c>
    </row>
    <row r="147" spans="1:13" x14ac:dyDescent="0.2">
      <c r="A147">
        <v>2021</v>
      </c>
      <c r="B147" t="s">
        <v>21</v>
      </c>
      <c r="C147" t="s">
        <v>12</v>
      </c>
      <c r="D147" t="s">
        <v>13</v>
      </c>
      <c r="E147">
        <v>59000</v>
      </c>
      <c r="F147" t="s">
        <v>14</v>
      </c>
      <c r="G147">
        <v>70329</v>
      </c>
      <c r="H147" t="s">
        <v>33</v>
      </c>
      <c r="I147">
        <v>100</v>
      </c>
      <c r="J147" t="s">
        <v>53</v>
      </c>
      <c r="K147" t="s">
        <v>28</v>
      </c>
      <c r="L147" t="str" cm="1">
        <f t="array" ref="L147">_xlfn.IFS(B147="EN","Entry Level",B147="MI","Mid Level",B147="SE","Senior Level",B147="EX","Expert Level")</f>
        <v>Expert Level</v>
      </c>
      <c r="M147" t="str" cm="1">
        <f t="array" ref="M147">_xlfn.IFS(I147=100,"Full Remote",I147=50,"Hybrid",I147=0,"On-Site")</f>
        <v>Full Remote</v>
      </c>
    </row>
    <row r="148" spans="1:13" x14ac:dyDescent="0.2">
      <c r="A148">
        <v>2021</v>
      </c>
      <c r="B148" t="s">
        <v>17</v>
      </c>
      <c r="C148" t="s">
        <v>12</v>
      </c>
      <c r="D148" t="s">
        <v>58</v>
      </c>
      <c r="E148">
        <v>50000</v>
      </c>
      <c r="F148" t="s">
        <v>23</v>
      </c>
      <c r="G148">
        <v>50000</v>
      </c>
      <c r="H148" t="s">
        <v>100</v>
      </c>
      <c r="I148">
        <v>100</v>
      </c>
      <c r="J148" t="s">
        <v>52</v>
      </c>
      <c r="K148" t="s">
        <v>25</v>
      </c>
      <c r="L148" t="str" cm="1">
        <f t="array" ref="L148">_xlfn.IFS(B148="EN","Entry Level",B148="MI","Mid Level",B148="SE","Senior Level",B148="EX","Expert Level")</f>
        <v>Senior Level</v>
      </c>
      <c r="M148" t="str" cm="1">
        <f t="array" ref="M148">_xlfn.IFS(I148=100,"Full Remote",I148=50,"Hybrid",I148=0,"On-Site")</f>
        <v>Full Remote</v>
      </c>
    </row>
    <row r="149" spans="1:13" x14ac:dyDescent="0.2">
      <c r="A149">
        <v>2021</v>
      </c>
      <c r="B149" t="s">
        <v>30</v>
      </c>
      <c r="C149" t="s">
        <v>12</v>
      </c>
      <c r="D149" t="s">
        <v>34</v>
      </c>
      <c r="E149">
        <v>4000</v>
      </c>
      <c r="F149" t="s">
        <v>23</v>
      </c>
      <c r="G149">
        <v>4000</v>
      </c>
      <c r="H149" t="s">
        <v>101</v>
      </c>
      <c r="I149">
        <v>100</v>
      </c>
      <c r="J149" t="s">
        <v>101</v>
      </c>
      <c r="K149" t="s">
        <v>25</v>
      </c>
      <c r="L149" t="str" cm="1">
        <f t="array" ref="L149">_xlfn.IFS(B149="EN","Entry Level",B149="MI","Mid Level",B149="SE","Senior Level",B149="EX","Expert Level")</f>
        <v>Mid Level</v>
      </c>
      <c r="M149" t="str" cm="1">
        <f t="array" ref="M149">_xlfn.IFS(I149=100,"Full Remote",I149=50,"Hybrid",I149=0,"On-Site")</f>
        <v>Full Remote</v>
      </c>
    </row>
    <row r="150" spans="1:13" x14ac:dyDescent="0.2">
      <c r="A150">
        <v>2020</v>
      </c>
      <c r="B150" t="s">
        <v>11</v>
      </c>
      <c r="C150" t="s">
        <v>12</v>
      </c>
      <c r="D150" t="s">
        <v>18</v>
      </c>
      <c r="E150">
        <v>35000</v>
      </c>
      <c r="F150" t="s">
        <v>14</v>
      </c>
      <c r="G150">
        <v>39916</v>
      </c>
      <c r="H150" t="s">
        <v>33</v>
      </c>
      <c r="I150">
        <v>0</v>
      </c>
      <c r="J150" t="s">
        <v>33</v>
      </c>
      <c r="K150" t="s">
        <v>25</v>
      </c>
      <c r="L150" t="str" cm="1">
        <f t="array" ref="L150">_xlfn.IFS(B150="EN","Entry Level",B150="MI","Mid Level",B150="SE","Senior Level",B150="EX","Expert Level")</f>
        <v>Entry Level</v>
      </c>
      <c r="M150" t="str" cm="1">
        <f t="array" ref="M150">_xlfn.IFS(I150=100,"Full Remote",I150=50,"Hybrid",I150=0,"On-Site")</f>
        <v>On-Site</v>
      </c>
    </row>
    <row r="151" spans="1:13" x14ac:dyDescent="0.2">
      <c r="A151">
        <v>2020</v>
      </c>
      <c r="B151" t="s">
        <v>30</v>
      </c>
      <c r="C151" t="s">
        <v>12</v>
      </c>
      <c r="D151" t="s">
        <v>61</v>
      </c>
      <c r="E151">
        <v>87000</v>
      </c>
      <c r="F151" t="s">
        <v>23</v>
      </c>
      <c r="G151">
        <v>87000</v>
      </c>
      <c r="H151" t="s">
        <v>20</v>
      </c>
      <c r="I151">
        <v>100</v>
      </c>
      <c r="J151" t="s">
        <v>20</v>
      </c>
      <c r="K151" t="s">
        <v>16</v>
      </c>
      <c r="L151" t="str" cm="1">
        <f t="array" ref="L151">_xlfn.IFS(B151="EN","Entry Level",B151="MI","Mid Level",B151="SE","Senior Level",B151="EX","Expert Level")</f>
        <v>Mid Level</v>
      </c>
      <c r="M151" t="str" cm="1">
        <f t="array" ref="M151">_xlfn.IFS(I151=100,"Full Remote",I151=50,"Hybrid",I151=0,"On-Site")</f>
        <v>Full Remote</v>
      </c>
    </row>
    <row r="152" spans="1:13" x14ac:dyDescent="0.2">
      <c r="A152">
        <v>2021</v>
      </c>
      <c r="B152" t="s">
        <v>30</v>
      </c>
      <c r="C152" t="s">
        <v>12</v>
      </c>
      <c r="D152" t="s">
        <v>34</v>
      </c>
      <c r="E152">
        <v>22000</v>
      </c>
      <c r="F152" t="s">
        <v>14</v>
      </c>
      <c r="G152">
        <v>26224</v>
      </c>
      <c r="H152" t="s">
        <v>102</v>
      </c>
      <c r="I152">
        <v>0</v>
      </c>
      <c r="J152" t="s">
        <v>20</v>
      </c>
      <c r="K152" t="s">
        <v>16</v>
      </c>
      <c r="L152" t="str" cm="1">
        <f t="array" ref="L152">_xlfn.IFS(B152="EN","Entry Level",B152="MI","Mid Level",B152="SE","Senior Level",B152="EX","Expert Level")</f>
        <v>Mid Level</v>
      </c>
      <c r="M152" t="str" cm="1">
        <f t="array" ref="M152">_xlfn.IFS(I152=100,"Full Remote",I152=50,"Hybrid",I152=0,"On-Site")</f>
        <v>On-Site</v>
      </c>
    </row>
    <row r="153" spans="1:13" x14ac:dyDescent="0.2">
      <c r="A153">
        <v>2021</v>
      </c>
      <c r="B153" t="s">
        <v>30</v>
      </c>
      <c r="C153" t="s">
        <v>12</v>
      </c>
      <c r="D153" t="s">
        <v>18</v>
      </c>
      <c r="E153">
        <v>76760</v>
      </c>
      <c r="F153" t="s">
        <v>14</v>
      </c>
      <c r="G153">
        <v>91500</v>
      </c>
      <c r="H153" t="s">
        <v>15</v>
      </c>
      <c r="I153">
        <v>50</v>
      </c>
      <c r="J153" t="s">
        <v>15</v>
      </c>
      <c r="K153" t="s">
        <v>16</v>
      </c>
      <c r="L153" t="str" cm="1">
        <f t="array" ref="L153">_xlfn.IFS(B153="EN","Entry Level",B153="MI","Mid Level",B153="SE","Senior Level",B153="EX","Expert Level")</f>
        <v>Mid Level</v>
      </c>
      <c r="M153" t="str" cm="1">
        <f t="array" ref="M153">_xlfn.IFS(I153=100,"Full Remote",I153=50,"Hybrid",I153=0,"On-Site")</f>
        <v>Hybrid</v>
      </c>
    </row>
    <row r="154" spans="1:13" x14ac:dyDescent="0.2">
      <c r="A154">
        <v>2021</v>
      </c>
      <c r="B154" t="s">
        <v>30</v>
      </c>
      <c r="C154" t="s">
        <v>12</v>
      </c>
      <c r="D154" t="s">
        <v>89</v>
      </c>
      <c r="E154">
        <v>1672000</v>
      </c>
      <c r="F154" t="s">
        <v>47</v>
      </c>
      <c r="G154">
        <v>22671</v>
      </c>
      <c r="H154" t="s">
        <v>48</v>
      </c>
      <c r="I154">
        <v>0</v>
      </c>
      <c r="J154" t="s">
        <v>48</v>
      </c>
      <c r="K154" t="s">
        <v>16</v>
      </c>
      <c r="L154" t="str" cm="1">
        <f t="array" ref="L154">_xlfn.IFS(B154="EN","Entry Level",B154="MI","Mid Level",B154="SE","Senior Level",B154="EX","Expert Level")</f>
        <v>Mid Level</v>
      </c>
      <c r="M154" t="str" cm="1">
        <f t="array" ref="M154">_xlfn.IFS(I154=100,"Full Remote",I154=50,"Hybrid",I154=0,"On-Site")</f>
        <v>On-Site</v>
      </c>
    </row>
    <row r="155" spans="1:13" x14ac:dyDescent="0.2">
      <c r="A155">
        <v>2021</v>
      </c>
      <c r="B155" t="s">
        <v>30</v>
      </c>
      <c r="C155" t="s">
        <v>12</v>
      </c>
      <c r="D155" t="s">
        <v>18</v>
      </c>
      <c r="E155">
        <v>420000</v>
      </c>
      <c r="F155" t="s">
        <v>47</v>
      </c>
      <c r="G155">
        <v>5695</v>
      </c>
      <c r="H155" t="s">
        <v>48</v>
      </c>
      <c r="I155">
        <v>100</v>
      </c>
      <c r="J155" t="s">
        <v>20</v>
      </c>
      <c r="K155" t="s">
        <v>28</v>
      </c>
      <c r="L155" t="str" cm="1">
        <f t="array" ref="L155">_xlfn.IFS(B155="EN","Entry Level",B155="MI","Mid Level",B155="SE","Senior Level",B155="EX","Expert Level")</f>
        <v>Mid Level</v>
      </c>
      <c r="M155" t="str" cm="1">
        <f t="array" ref="M155">_xlfn.IFS(I155=100,"Full Remote",I155=50,"Hybrid",I155=0,"On-Site")</f>
        <v>Full Remote</v>
      </c>
    </row>
    <row r="156" spans="1:13" x14ac:dyDescent="0.2">
      <c r="A156">
        <v>2021</v>
      </c>
      <c r="B156" t="s">
        <v>11</v>
      </c>
      <c r="C156" t="s">
        <v>12</v>
      </c>
      <c r="D156" t="s">
        <v>27</v>
      </c>
      <c r="E156">
        <v>81000</v>
      </c>
      <c r="F156" t="s">
        <v>23</v>
      </c>
      <c r="G156">
        <v>81000</v>
      </c>
      <c r="H156" t="s">
        <v>20</v>
      </c>
      <c r="I156">
        <v>50</v>
      </c>
      <c r="J156" t="s">
        <v>20</v>
      </c>
      <c r="K156" t="s">
        <v>28</v>
      </c>
      <c r="L156" t="str" cm="1">
        <f t="array" ref="L156">_xlfn.IFS(B156="EN","Entry Level",B156="MI","Mid Level",B156="SE","Senior Level",B156="EX","Expert Level")</f>
        <v>Entry Level</v>
      </c>
      <c r="M156" t="str" cm="1">
        <f t="array" ref="M156">_xlfn.IFS(I156=100,"Full Remote",I156=50,"Hybrid",I156=0,"On-Site")</f>
        <v>Hybrid</v>
      </c>
    </row>
    <row r="157" spans="1:13" x14ac:dyDescent="0.2">
      <c r="A157">
        <v>2021</v>
      </c>
      <c r="B157" t="s">
        <v>30</v>
      </c>
      <c r="C157" t="s">
        <v>12</v>
      </c>
      <c r="D157" t="s">
        <v>18</v>
      </c>
      <c r="E157">
        <v>30400000</v>
      </c>
      <c r="F157" t="s">
        <v>103</v>
      </c>
      <c r="G157">
        <v>40798</v>
      </c>
      <c r="H157" t="s">
        <v>104</v>
      </c>
      <c r="I157">
        <v>100</v>
      </c>
      <c r="J157" t="s">
        <v>104</v>
      </c>
      <c r="K157" t="s">
        <v>16</v>
      </c>
      <c r="L157" t="str" cm="1">
        <f t="array" ref="L157">_xlfn.IFS(B157="EN","Entry Level",B157="MI","Mid Level",B157="SE","Senior Level",B157="EX","Expert Level")</f>
        <v>Mid Level</v>
      </c>
      <c r="M157" t="str" cm="1">
        <f t="array" ref="M157">_xlfn.IFS(I157=100,"Full Remote",I157=50,"Hybrid",I157=0,"On-Site")</f>
        <v>Full Remote</v>
      </c>
    </row>
    <row r="158" spans="1:13" x14ac:dyDescent="0.2">
      <c r="A158">
        <v>2021</v>
      </c>
      <c r="B158" t="s">
        <v>30</v>
      </c>
      <c r="C158" t="s">
        <v>12</v>
      </c>
      <c r="D158" t="s">
        <v>18</v>
      </c>
      <c r="E158">
        <v>58000</v>
      </c>
      <c r="F158" t="s">
        <v>78</v>
      </c>
      <c r="G158">
        <v>2876</v>
      </c>
      <c r="H158" t="s">
        <v>79</v>
      </c>
      <c r="I158">
        <v>0</v>
      </c>
      <c r="J158" t="s">
        <v>79</v>
      </c>
      <c r="K158" t="s">
        <v>28</v>
      </c>
      <c r="L158" t="str" cm="1">
        <f t="array" ref="L158">_xlfn.IFS(B158="EN","Entry Level",B158="MI","Mid Level",B158="SE","Senior Level",B158="EX","Expert Level")</f>
        <v>Mid Level</v>
      </c>
      <c r="M158" t="str" cm="1">
        <f t="array" ref="M158">_xlfn.IFS(I158=100,"Full Remote",I158=50,"Hybrid",I158=0,"On-Site")</f>
        <v>On-Site</v>
      </c>
    </row>
    <row r="159" spans="1:13" x14ac:dyDescent="0.2">
      <c r="A159">
        <v>2021</v>
      </c>
      <c r="B159" t="s">
        <v>11</v>
      </c>
      <c r="C159" t="s">
        <v>12</v>
      </c>
      <c r="D159" t="s">
        <v>13</v>
      </c>
      <c r="E159">
        <v>90000</v>
      </c>
      <c r="F159" t="s">
        <v>23</v>
      </c>
      <c r="G159">
        <v>90000</v>
      </c>
      <c r="H159" t="s">
        <v>20</v>
      </c>
      <c r="I159">
        <v>100</v>
      </c>
      <c r="J159" t="s">
        <v>20</v>
      </c>
      <c r="K159" t="s">
        <v>28</v>
      </c>
      <c r="L159" t="str" cm="1">
        <f t="array" ref="L159">_xlfn.IFS(B159="EN","Entry Level",B159="MI","Mid Level",B159="SE","Senior Level",B159="EX","Expert Level")</f>
        <v>Entry Level</v>
      </c>
      <c r="M159" t="str" cm="1">
        <f t="array" ref="M159">_xlfn.IFS(I159=100,"Full Remote",I159=50,"Hybrid",I159=0,"On-Site")</f>
        <v>Full Remote</v>
      </c>
    </row>
    <row r="160" spans="1:13" x14ac:dyDescent="0.2">
      <c r="A160">
        <v>2021</v>
      </c>
      <c r="B160" t="s">
        <v>30</v>
      </c>
      <c r="C160" t="s">
        <v>12</v>
      </c>
      <c r="D160" t="s">
        <v>18</v>
      </c>
      <c r="E160">
        <v>52000</v>
      </c>
      <c r="F160" t="s">
        <v>14</v>
      </c>
      <c r="G160">
        <v>61985</v>
      </c>
      <c r="H160" t="s">
        <v>15</v>
      </c>
      <c r="I160">
        <v>50</v>
      </c>
      <c r="J160" t="s">
        <v>35</v>
      </c>
      <c r="K160" t="s">
        <v>25</v>
      </c>
      <c r="L160" t="str" cm="1">
        <f t="array" ref="L160">_xlfn.IFS(B160="EN","Entry Level",B160="MI","Mid Level",B160="SE","Senior Level",B160="EX","Expert Level")</f>
        <v>Mid Level</v>
      </c>
      <c r="M160" t="str" cm="1">
        <f t="array" ref="M160">_xlfn.IFS(I160=100,"Full Remote",I160=50,"Hybrid",I160=0,"On-Site")</f>
        <v>Hybrid</v>
      </c>
    </row>
    <row r="161" spans="1:13" x14ac:dyDescent="0.2">
      <c r="A161">
        <v>2021</v>
      </c>
      <c r="B161" t="s">
        <v>17</v>
      </c>
      <c r="C161" t="s">
        <v>12</v>
      </c>
      <c r="D161" t="s">
        <v>65</v>
      </c>
      <c r="E161">
        <v>195000</v>
      </c>
      <c r="F161" t="s">
        <v>23</v>
      </c>
      <c r="G161">
        <v>195000</v>
      </c>
      <c r="H161" t="s">
        <v>20</v>
      </c>
      <c r="I161">
        <v>100</v>
      </c>
      <c r="J161" t="s">
        <v>20</v>
      </c>
      <c r="K161" t="s">
        <v>25</v>
      </c>
      <c r="L161" t="str" cm="1">
        <f t="array" ref="L161">_xlfn.IFS(B161="EN","Entry Level",B161="MI","Mid Level",B161="SE","Senior Level",B161="EX","Expert Level")</f>
        <v>Senior Level</v>
      </c>
      <c r="M161" t="str" cm="1">
        <f t="array" ref="M161">_xlfn.IFS(I161=100,"Full Remote",I161=50,"Hybrid",I161=0,"On-Site")</f>
        <v>Full Remote</v>
      </c>
    </row>
    <row r="162" spans="1:13" x14ac:dyDescent="0.2">
      <c r="A162">
        <v>2021</v>
      </c>
      <c r="B162" t="s">
        <v>30</v>
      </c>
      <c r="C162" t="s">
        <v>12</v>
      </c>
      <c r="D162" t="s">
        <v>18</v>
      </c>
      <c r="E162">
        <v>32000</v>
      </c>
      <c r="F162" t="s">
        <v>14</v>
      </c>
      <c r="G162">
        <v>38144</v>
      </c>
      <c r="H162" t="s">
        <v>53</v>
      </c>
      <c r="I162">
        <v>100</v>
      </c>
      <c r="J162" t="s">
        <v>53</v>
      </c>
      <c r="K162" t="s">
        <v>16</v>
      </c>
      <c r="L162" t="str" cm="1">
        <f t="array" ref="L162">_xlfn.IFS(B162="EN","Entry Level",B162="MI","Mid Level",B162="SE","Senior Level",B162="EX","Expert Level")</f>
        <v>Mid Level</v>
      </c>
      <c r="M162" t="str" cm="1">
        <f t="array" ref="M162">_xlfn.IFS(I162=100,"Full Remote",I162=50,"Hybrid",I162=0,"On-Site")</f>
        <v>Full Remote</v>
      </c>
    </row>
    <row r="163" spans="1:13" x14ac:dyDescent="0.2">
      <c r="A163">
        <v>2020</v>
      </c>
      <c r="B163" t="s">
        <v>30</v>
      </c>
      <c r="C163" t="s">
        <v>12</v>
      </c>
      <c r="D163" t="s">
        <v>32</v>
      </c>
      <c r="E163">
        <v>85000</v>
      </c>
      <c r="F163" t="s">
        <v>23</v>
      </c>
      <c r="G163">
        <v>85000</v>
      </c>
      <c r="H163" t="s">
        <v>20</v>
      </c>
      <c r="I163">
        <v>100</v>
      </c>
      <c r="J163" t="s">
        <v>20</v>
      </c>
      <c r="K163" t="s">
        <v>16</v>
      </c>
      <c r="L163" t="str" cm="1">
        <f t="array" ref="L163">_xlfn.IFS(B163="EN","Entry Level",B163="MI","Mid Level",B163="SE","Senior Level",B163="EX","Expert Level")</f>
        <v>Mid Level</v>
      </c>
      <c r="M163" t="str" cm="1">
        <f t="array" ref="M163">_xlfn.IFS(I163=100,"Full Remote",I163=50,"Hybrid",I163=0,"On-Site")</f>
        <v>Full Remote</v>
      </c>
    </row>
    <row r="164" spans="1:13" x14ac:dyDescent="0.2">
      <c r="A164">
        <v>2021</v>
      </c>
      <c r="B164" t="s">
        <v>21</v>
      </c>
      <c r="C164" t="s">
        <v>49</v>
      </c>
      <c r="D164" t="s">
        <v>105</v>
      </c>
      <c r="E164">
        <v>416000</v>
      </c>
      <c r="F164" t="s">
        <v>23</v>
      </c>
      <c r="G164">
        <v>416000</v>
      </c>
      <c r="H164" t="s">
        <v>20</v>
      </c>
      <c r="I164">
        <v>100</v>
      </c>
      <c r="J164" t="s">
        <v>20</v>
      </c>
      <c r="K164" t="s">
        <v>28</v>
      </c>
      <c r="L164" t="str" cm="1">
        <f t="array" ref="L164">_xlfn.IFS(B164="EN","Entry Level",B164="MI","Mid Level",B164="SE","Senior Level",B164="EX","Expert Level")</f>
        <v>Expert Level</v>
      </c>
      <c r="M164" t="str" cm="1">
        <f t="array" ref="M164">_xlfn.IFS(I164=100,"Full Remote",I164=50,"Hybrid",I164=0,"On-Site")</f>
        <v>Full Remote</v>
      </c>
    </row>
    <row r="165" spans="1:13" x14ac:dyDescent="0.2">
      <c r="A165">
        <v>2021</v>
      </c>
      <c r="B165" t="s">
        <v>17</v>
      </c>
      <c r="C165" t="s">
        <v>12</v>
      </c>
      <c r="D165" t="s">
        <v>64</v>
      </c>
      <c r="E165">
        <v>225000</v>
      </c>
      <c r="F165" t="s">
        <v>23</v>
      </c>
      <c r="G165">
        <v>225000</v>
      </c>
      <c r="H165" t="s">
        <v>20</v>
      </c>
      <c r="I165">
        <v>100</v>
      </c>
      <c r="J165" t="s">
        <v>38</v>
      </c>
      <c r="K165" t="s">
        <v>16</v>
      </c>
      <c r="L165" t="str" cm="1">
        <f t="array" ref="L165">_xlfn.IFS(B165="EN","Entry Level",B165="MI","Mid Level",B165="SE","Senior Level",B165="EX","Expert Level")</f>
        <v>Senior Level</v>
      </c>
      <c r="M165" t="str" cm="1">
        <f t="array" ref="M165">_xlfn.IFS(I165=100,"Full Remote",I165=50,"Hybrid",I165=0,"On-Site")</f>
        <v>Full Remote</v>
      </c>
    </row>
    <row r="166" spans="1:13" x14ac:dyDescent="0.2">
      <c r="A166">
        <v>2021</v>
      </c>
      <c r="B166" t="s">
        <v>30</v>
      </c>
      <c r="C166" t="s">
        <v>12</v>
      </c>
      <c r="D166" t="s">
        <v>18</v>
      </c>
      <c r="E166">
        <v>40900</v>
      </c>
      <c r="F166" t="s">
        <v>59</v>
      </c>
      <c r="G166">
        <v>56578</v>
      </c>
      <c r="H166" t="s">
        <v>52</v>
      </c>
      <c r="I166">
        <v>50</v>
      </c>
      <c r="J166" t="s">
        <v>52</v>
      </c>
      <c r="K166" t="s">
        <v>16</v>
      </c>
      <c r="L166" t="str" cm="1">
        <f t="array" ref="L166">_xlfn.IFS(B166="EN","Entry Level",B166="MI","Mid Level",B166="SE","Senior Level",B166="EX","Expert Level")</f>
        <v>Mid Level</v>
      </c>
      <c r="M166" t="str" cm="1">
        <f t="array" ref="M166">_xlfn.IFS(I166=100,"Full Remote",I166=50,"Hybrid",I166=0,"On-Site")</f>
        <v>Hybrid</v>
      </c>
    </row>
    <row r="167" spans="1:13" x14ac:dyDescent="0.2">
      <c r="A167">
        <v>2021</v>
      </c>
      <c r="B167" t="s">
        <v>30</v>
      </c>
      <c r="C167" t="s">
        <v>12</v>
      </c>
      <c r="D167" t="s">
        <v>18</v>
      </c>
      <c r="E167">
        <v>2500000</v>
      </c>
      <c r="F167" t="s">
        <v>47</v>
      </c>
      <c r="G167">
        <v>33899</v>
      </c>
      <c r="H167" t="s">
        <v>48</v>
      </c>
      <c r="I167">
        <v>0</v>
      </c>
      <c r="J167" t="s">
        <v>48</v>
      </c>
      <c r="K167" t="s">
        <v>25</v>
      </c>
      <c r="L167" t="str" cm="1">
        <f t="array" ref="L167">_xlfn.IFS(B167="EN","Entry Level",B167="MI","Mid Level",B167="SE","Senior Level",B167="EX","Expert Level")</f>
        <v>Mid Level</v>
      </c>
      <c r="M167" t="str" cm="1">
        <f t="array" ref="M167">_xlfn.IFS(I167=100,"Full Remote",I167=50,"Hybrid",I167=0,"On-Site")</f>
        <v>On-Site</v>
      </c>
    </row>
    <row r="168" spans="1:13" x14ac:dyDescent="0.2">
      <c r="A168">
        <v>2021</v>
      </c>
      <c r="B168" t="s">
        <v>30</v>
      </c>
      <c r="C168" t="s">
        <v>12</v>
      </c>
      <c r="D168" t="s">
        <v>18</v>
      </c>
      <c r="E168">
        <v>85000</v>
      </c>
      <c r="F168" t="s">
        <v>59</v>
      </c>
      <c r="G168">
        <v>117583</v>
      </c>
      <c r="H168" t="s">
        <v>52</v>
      </c>
      <c r="I168">
        <v>50</v>
      </c>
      <c r="J168" t="s">
        <v>52</v>
      </c>
      <c r="K168" t="s">
        <v>16</v>
      </c>
      <c r="L168" t="str" cm="1">
        <f t="array" ref="L168">_xlfn.IFS(B168="EN","Entry Level",B168="MI","Mid Level",B168="SE","Senior Level",B168="EX","Expert Level")</f>
        <v>Mid Level</v>
      </c>
      <c r="M168" t="str" cm="1">
        <f t="array" ref="M168">_xlfn.IFS(I168=100,"Full Remote",I168=50,"Hybrid",I168=0,"On-Site")</f>
        <v>Hybrid</v>
      </c>
    </row>
    <row r="169" spans="1:13" x14ac:dyDescent="0.2">
      <c r="A169">
        <v>2021</v>
      </c>
      <c r="B169" t="s">
        <v>30</v>
      </c>
      <c r="C169" t="s">
        <v>12</v>
      </c>
      <c r="D169" t="s">
        <v>27</v>
      </c>
      <c r="E169">
        <v>180000</v>
      </c>
      <c r="F169" t="s">
        <v>57</v>
      </c>
      <c r="G169">
        <v>47129</v>
      </c>
      <c r="H169" t="s">
        <v>56</v>
      </c>
      <c r="I169">
        <v>100</v>
      </c>
      <c r="J169" t="s">
        <v>56</v>
      </c>
      <c r="K169" t="s">
        <v>16</v>
      </c>
      <c r="L169" t="str" cm="1">
        <f t="array" ref="L169">_xlfn.IFS(B169="EN","Entry Level",B169="MI","Mid Level",B169="SE","Senior Level",B169="EX","Expert Level")</f>
        <v>Mid Level</v>
      </c>
      <c r="M169" t="str" cm="1">
        <f t="array" ref="M169">_xlfn.IFS(I169=100,"Full Remote",I169=50,"Hybrid",I169=0,"On-Site")</f>
        <v>Full Remote</v>
      </c>
    </row>
    <row r="170" spans="1:13" x14ac:dyDescent="0.2">
      <c r="A170">
        <v>2020</v>
      </c>
      <c r="B170" t="s">
        <v>30</v>
      </c>
      <c r="C170" t="s">
        <v>12</v>
      </c>
      <c r="D170" t="s">
        <v>32</v>
      </c>
      <c r="E170">
        <v>8000</v>
      </c>
      <c r="F170" t="s">
        <v>23</v>
      </c>
      <c r="G170">
        <v>8000</v>
      </c>
      <c r="H170" t="s">
        <v>45</v>
      </c>
      <c r="I170">
        <v>50</v>
      </c>
      <c r="J170" t="s">
        <v>45</v>
      </c>
      <c r="K170" t="s">
        <v>16</v>
      </c>
      <c r="L170" t="str" cm="1">
        <f t="array" ref="L170">_xlfn.IFS(B170="EN","Entry Level",B170="MI","Mid Level",B170="SE","Senior Level",B170="EX","Expert Level")</f>
        <v>Mid Level</v>
      </c>
      <c r="M170" t="str" cm="1">
        <f t="array" ref="M170">_xlfn.IFS(I170=100,"Full Remote",I170=50,"Hybrid",I170=0,"On-Site")</f>
        <v>Hybrid</v>
      </c>
    </row>
    <row r="171" spans="1:13" x14ac:dyDescent="0.2">
      <c r="A171">
        <v>2020</v>
      </c>
      <c r="B171" t="s">
        <v>11</v>
      </c>
      <c r="C171" t="s">
        <v>12</v>
      </c>
      <c r="D171" t="s">
        <v>34</v>
      </c>
      <c r="E171">
        <v>4450000</v>
      </c>
      <c r="F171" t="s">
        <v>106</v>
      </c>
      <c r="G171">
        <v>41689</v>
      </c>
      <c r="H171" t="s">
        <v>87</v>
      </c>
      <c r="I171">
        <v>100</v>
      </c>
      <c r="J171" t="s">
        <v>87</v>
      </c>
      <c r="K171" t="s">
        <v>28</v>
      </c>
      <c r="L171" t="str" cm="1">
        <f t="array" ref="L171">_xlfn.IFS(B171="EN","Entry Level",B171="MI","Mid Level",B171="SE","Senior Level",B171="EX","Expert Level")</f>
        <v>Entry Level</v>
      </c>
      <c r="M171" t="str" cm="1">
        <f t="array" ref="M171">_xlfn.IFS(I171=100,"Full Remote",I171=50,"Hybrid",I171=0,"On-Site")</f>
        <v>Full Remote</v>
      </c>
    </row>
    <row r="172" spans="1:13" x14ac:dyDescent="0.2">
      <c r="A172">
        <v>2020</v>
      </c>
      <c r="B172" t="s">
        <v>17</v>
      </c>
      <c r="C172" t="s">
        <v>12</v>
      </c>
      <c r="D172" t="s">
        <v>89</v>
      </c>
      <c r="E172">
        <v>100000</v>
      </c>
      <c r="F172" t="s">
        <v>14</v>
      </c>
      <c r="G172">
        <v>114047</v>
      </c>
      <c r="H172" t="s">
        <v>56</v>
      </c>
      <c r="I172">
        <v>100</v>
      </c>
      <c r="J172" t="s">
        <v>52</v>
      </c>
      <c r="K172" t="s">
        <v>28</v>
      </c>
      <c r="L172" t="str" cm="1">
        <f t="array" ref="L172">_xlfn.IFS(B172="EN","Entry Level",B172="MI","Mid Level",B172="SE","Senior Level",B172="EX","Expert Level")</f>
        <v>Senior Level</v>
      </c>
      <c r="M172" t="str" cm="1">
        <f t="array" ref="M172">_xlfn.IFS(I172=100,"Full Remote",I172=50,"Hybrid",I172=0,"On-Site")</f>
        <v>Full Remote</v>
      </c>
    </row>
    <row r="173" spans="1:13" x14ac:dyDescent="0.2">
      <c r="A173">
        <v>2021</v>
      </c>
      <c r="B173" t="s">
        <v>30</v>
      </c>
      <c r="C173" t="s">
        <v>12</v>
      </c>
      <c r="D173" t="s">
        <v>27</v>
      </c>
      <c r="E173">
        <v>75000</v>
      </c>
      <c r="F173" t="s">
        <v>14</v>
      </c>
      <c r="G173">
        <v>89402</v>
      </c>
      <c r="H173" t="s">
        <v>107</v>
      </c>
      <c r="I173">
        <v>100</v>
      </c>
      <c r="J173" t="s">
        <v>107</v>
      </c>
      <c r="K173" t="s">
        <v>25</v>
      </c>
      <c r="L173" t="str" cm="1">
        <f t="array" ref="L173">_xlfn.IFS(B173="EN","Entry Level",B173="MI","Mid Level",B173="SE","Senior Level",B173="EX","Expert Level")</f>
        <v>Mid Level</v>
      </c>
      <c r="M173" t="str" cm="1">
        <f t="array" ref="M173">_xlfn.IFS(I173=100,"Full Remote",I173=50,"Hybrid",I173=0,"On-Site")</f>
        <v>Full Remote</v>
      </c>
    </row>
    <row r="174" spans="1:13" x14ac:dyDescent="0.2">
      <c r="A174">
        <v>2020</v>
      </c>
      <c r="B174" t="s">
        <v>11</v>
      </c>
      <c r="C174" t="s">
        <v>12</v>
      </c>
      <c r="D174" t="s">
        <v>13</v>
      </c>
      <c r="E174">
        <v>423000</v>
      </c>
      <c r="F174" t="s">
        <v>47</v>
      </c>
      <c r="G174">
        <v>5707</v>
      </c>
      <c r="H174" t="s">
        <v>48</v>
      </c>
      <c r="I174">
        <v>50</v>
      </c>
      <c r="J174" t="s">
        <v>48</v>
      </c>
      <c r="K174" t="s">
        <v>25</v>
      </c>
      <c r="L174" t="str" cm="1">
        <f t="array" ref="L174">_xlfn.IFS(B174="EN","Entry Level",B174="MI","Mid Level",B174="SE","Senior Level",B174="EX","Expert Level")</f>
        <v>Entry Level</v>
      </c>
      <c r="M174" t="str" cm="1">
        <f t="array" ref="M174">_xlfn.IFS(I174=100,"Full Remote",I174=50,"Hybrid",I174=0,"On-Site")</f>
        <v>Hybrid</v>
      </c>
    </row>
    <row r="175" spans="1:13" x14ac:dyDescent="0.2">
      <c r="A175">
        <v>2020</v>
      </c>
      <c r="B175" t="s">
        <v>30</v>
      </c>
      <c r="C175" t="s">
        <v>12</v>
      </c>
      <c r="D175" t="s">
        <v>68</v>
      </c>
      <c r="E175">
        <v>56000</v>
      </c>
      <c r="F175" t="s">
        <v>23</v>
      </c>
      <c r="G175">
        <v>56000</v>
      </c>
      <c r="H175" t="s">
        <v>43</v>
      </c>
      <c r="I175">
        <v>100</v>
      </c>
      <c r="J175" t="s">
        <v>20</v>
      </c>
      <c r="K175" t="s">
        <v>25</v>
      </c>
      <c r="L175" t="str" cm="1">
        <f t="array" ref="L175">_xlfn.IFS(B175="EN","Entry Level",B175="MI","Mid Level",B175="SE","Senior Level",B175="EX","Expert Level")</f>
        <v>Mid Level</v>
      </c>
      <c r="M175" t="str" cm="1">
        <f t="array" ref="M175">_xlfn.IFS(I175=100,"Full Remote",I175=50,"Hybrid",I175=0,"On-Site")</f>
        <v>Full Remote</v>
      </c>
    </row>
    <row r="176" spans="1:13" x14ac:dyDescent="0.2">
      <c r="A176">
        <v>2021</v>
      </c>
      <c r="B176" t="s">
        <v>11</v>
      </c>
      <c r="C176" t="s">
        <v>43</v>
      </c>
      <c r="D176" t="s">
        <v>108</v>
      </c>
      <c r="E176">
        <v>180000</v>
      </c>
      <c r="F176" t="s">
        <v>109</v>
      </c>
      <c r="G176">
        <v>28850</v>
      </c>
      <c r="H176" t="s">
        <v>67</v>
      </c>
      <c r="I176">
        <v>50</v>
      </c>
      <c r="J176" t="s">
        <v>67</v>
      </c>
      <c r="K176" t="s">
        <v>28</v>
      </c>
      <c r="L176" t="str" cm="1">
        <f t="array" ref="L176">_xlfn.IFS(B176="EN","Entry Level",B176="MI","Mid Level",B176="SE","Senior Level",B176="EX","Expert Level")</f>
        <v>Entry Level</v>
      </c>
      <c r="M176" t="str" cm="1">
        <f t="array" ref="M176">_xlfn.IFS(I176=100,"Full Remote",I176=50,"Hybrid",I176=0,"On-Site")</f>
        <v>Hybrid</v>
      </c>
    </row>
    <row r="177" spans="1:13" x14ac:dyDescent="0.2">
      <c r="A177">
        <v>2021</v>
      </c>
      <c r="B177" t="s">
        <v>30</v>
      </c>
      <c r="C177" t="s">
        <v>12</v>
      </c>
      <c r="D177" t="s">
        <v>18</v>
      </c>
      <c r="E177">
        <v>75000</v>
      </c>
      <c r="F177" t="s">
        <v>14</v>
      </c>
      <c r="G177">
        <v>89402</v>
      </c>
      <c r="H177" t="s">
        <v>15</v>
      </c>
      <c r="I177">
        <v>50</v>
      </c>
      <c r="J177" t="s">
        <v>15</v>
      </c>
      <c r="K177" t="s">
        <v>16</v>
      </c>
      <c r="L177" t="str" cm="1">
        <f t="array" ref="L177">_xlfn.IFS(B177="EN","Entry Level",B177="MI","Mid Level",B177="SE","Senior Level",B177="EX","Expert Level")</f>
        <v>Mid Level</v>
      </c>
      <c r="M177" t="str" cm="1">
        <f t="array" ref="M177">_xlfn.IFS(I177=100,"Full Remote",I177=50,"Hybrid",I177=0,"On-Site")</f>
        <v>Hybrid</v>
      </c>
    </row>
    <row r="178" spans="1:13" x14ac:dyDescent="0.2">
      <c r="A178">
        <v>2020</v>
      </c>
      <c r="B178" t="s">
        <v>30</v>
      </c>
      <c r="C178" t="s">
        <v>12</v>
      </c>
      <c r="D178" t="s">
        <v>27</v>
      </c>
      <c r="E178">
        <v>299000</v>
      </c>
      <c r="F178" t="s">
        <v>110</v>
      </c>
      <c r="G178">
        <v>43331</v>
      </c>
      <c r="H178" t="s">
        <v>91</v>
      </c>
      <c r="I178">
        <v>0</v>
      </c>
      <c r="J178" t="s">
        <v>91</v>
      </c>
      <c r="K178" t="s">
        <v>25</v>
      </c>
      <c r="L178" t="str" cm="1">
        <f t="array" ref="L178">_xlfn.IFS(B178="EN","Entry Level",B178="MI","Mid Level",B178="SE","Senior Level",B178="EX","Expert Level")</f>
        <v>Mid Level</v>
      </c>
      <c r="M178" t="str" cm="1">
        <f t="array" ref="M178">_xlfn.IFS(I178=100,"Full Remote",I178=50,"Hybrid",I178=0,"On-Site")</f>
        <v>On-Site</v>
      </c>
    </row>
    <row r="179" spans="1:13" x14ac:dyDescent="0.2">
      <c r="A179">
        <v>2020</v>
      </c>
      <c r="B179" t="s">
        <v>30</v>
      </c>
      <c r="C179" t="s">
        <v>12</v>
      </c>
      <c r="D179" t="s">
        <v>111</v>
      </c>
      <c r="E179">
        <v>450000</v>
      </c>
      <c r="F179" t="s">
        <v>47</v>
      </c>
      <c r="G179">
        <v>6072</v>
      </c>
      <c r="H179" t="s">
        <v>48</v>
      </c>
      <c r="I179">
        <v>100</v>
      </c>
      <c r="J179" t="s">
        <v>48</v>
      </c>
      <c r="K179" t="s">
        <v>16</v>
      </c>
      <c r="L179" t="str" cm="1">
        <f t="array" ref="L179">_xlfn.IFS(B179="EN","Entry Level",B179="MI","Mid Level",B179="SE","Senior Level",B179="EX","Expert Level")</f>
        <v>Mid Level</v>
      </c>
      <c r="M179" t="str" cm="1">
        <f t="array" ref="M179">_xlfn.IFS(I179=100,"Full Remote",I179=50,"Hybrid",I179=0,"On-Site")</f>
        <v>Full Remote</v>
      </c>
    </row>
    <row r="180" spans="1:13" x14ac:dyDescent="0.2">
      <c r="A180">
        <v>2020</v>
      </c>
      <c r="B180" t="s">
        <v>17</v>
      </c>
      <c r="C180" t="s">
        <v>12</v>
      </c>
      <c r="D180" t="s">
        <v>34</v>
      </c>
      <c r="E180">
        <v>42000</v>
      </c>
      <c r="F180" t="s">
        <v>14</v>
      </c>
      <c r="G180">
        <v>47899</v>
      </c>
      <c r="H180" t="s">
        <v>19</v>
      </c>
      <c r="I180">
        <v>50</v>
      </c>
      <c r="J180" t="s">
        <v>19</v>
      </c>
      <c r="K180" t="s">
        <v>16</v>
      </c>
      <c r="L180" t="str" cm="1">
        <f t="array" ref="L180">_xlfn.IFS(B180="EN","Entry Level",B180="MI","Mid Level",B180="SE","Senior Level",B180="EX","Expert Level")</f>
        <v>Senior Level</v>
      </c>
      <c r="M180" t="str" cm="1">
        <f t="array" ref="M180">_xlfn.IFS(I180=100,"Full Remote",I180=50,"Hybrid",I180=0,"On-Site")</f>
        <v>Hybrid</v>
      </c>
    </row>
    <row r="181" spans="1:13" x14ac:dyDescent="0.2">
      <c r="A181">
        <v>2020</v>
      </c>
      <c r="B181" t="s">
        <v>30</v>
      </c>
      <c r="C181" t="s">
        <v>12</v>
      </c>
      <c r="D181" t="s">
        <v>63</v>
      </c>
      <c r="E181">
        <v>98000</v>
      </c>
      <c r="F181" t="s">
        <v>23</v>
      </c>
      <c r="G181">
        <v>98000</v>
      </c>
      <c r="H181" t="s">
        <v>20</v>
      </c>
      <c r="I181">
        <v>0</v>
      </c>
      <c r="J181" t="s">
        <v>20</v>
      </c>
      <c r="K181" t="s">
        <v>25</v>
      </c>
      <c r="L181" t="str" cm="1">
        <f t="array" ref="L181">_xlfn.IFS(B181="EN","Entry Level",B181="MI","Mid Level",B181="SE","Senior Level",B181="EX","Expert Level")</f>
        <v>Mid Level</v>
      </c>
      <c r="M181" t="str" cm="1">
        <f t="array" ref="M181">_xlfn.IFS(I181=100,"Full Remote",I181=50,"Hybrid",I181=0,"On-Site")</f>
        <v>On-Site</v>
      </c>
    </row>
    <row r="182" spans="1:13" x14ac:dyDescent="0.2">
      <c r="A182">
        <v>2021</v>
      </c>
      <c r="B182" t="s">
        <v>30</v>
      </c>
      <c r="C182" t="s">
        <v>12</v>
      </c>
      <c r="D182" t="s">
        <v>34</v>
      </c>
      <c r="E182">
        <v>48000</v>
      </c>
      <c r="F182" t="s">
        <v>59</v>
      </c>
      <c r="G182">
        <v>66400</v>
      </c>
      <c r="H182" t="s">
        <v>112</v>
      </c>
      <c r="I182">
        <v>50</v>
      </c>
      <c r="J182" t="s">
        <v>52</v>
      </c>
      <c r="K182" t="s">
        <v>28</v>
      </c>
      <c r="L182" t="str" cm="1">
        <f t="array" ref="L182">_xlfn.IFS(B182="EN","Entry Level",B182="MI","Mid Level",B182="SE","Senior Level",B182="EX","Expert Level")</f>
        <v>Mid Level</v>
      </c>
      <c r="M182" t="str" cm="1">
        <f t="array" ref="M182">_xlfn.IFS(I182=100,"Full Remote",I182=50,"Hybrid",I182=0,"On-Site")</f>
        <v>Hybrid</v>
      </c>
    </row>
    <row r="183" spans="1:13" x14ac:dyDescent="0.2">
      <c r="A183">
        <v>2021</v>
      </c>
      <c r="B183" t="s">
        <v>30</v>
      </c>
      <c r="C183" t="s">
        <v>12</v>
      </c>
      <c r="D183" t="s">
        <v>31</v>
      </c>
      <c r="E183">
        <v>48000</v>
      </c>
      <c r="F183" t="s">
        <v>14</v>
      </c>
      <c r="G183">
        <v>57217</v>
      </c>
      <c r="H183" t="s">
        <v>33</v>
      </c>
      <c r="I183">
        <v>50</v>
      </c>
      <c r="J183" t="s">
        <v>33</v>
      </c>
      <c r="K183" t="s">
        <v>28</v>
      </c>
      <c r="L183" t="str" cm="1">
        <f t="array" ref="L183">_xlfn.IFS(B183="EN","Entry Level",B183="MI","Mid Level",B183="SE","Senior Level",B183="EX","Expert Level")</f>
        <v>Mid Level</v>
      </c>
      <c r="M183" t="str" cm="1">
        <f t="array" ref="M183">_xlfn.IFS(I183=100,"Full Remote",I183=50,"Hybrid",I183=0,"On-Site")</f>
        <v>Hybrid</v>
      </c>
    </row>
    <row r="184" spans="1:13" x14ac:dyDescent="0.2">
      <c r="A184">
        <v>2021</v>
      </c>
      <c r="B184" t="s">
        <v>30</v>
      </c>
      <c r="C184" t="s">
        <v>12</v>
      </c>
      <c r="D184" t="s">
        <v>27</v>
      </c>
      <c r="E184">
        <v>21000</v>
      </c>
      <c r="F184" t="s">
        <v>14</v>
      </c>
      <c r="G184">
        <v>25032</v>
      </c>
      <c r="H184" t="s">
        <v>113</v>
      </c>
      <c r="I184">
        <v>50</v>
      </c>
      <c r="J184" t="s">
        <v>113</v>
      </c>
      <c r="K184" t="s">
        <v>16</v>
      </c>
      <c r="L184" t="str" cm="1">
        <f t="array" ref="L184">_xlfn.IFS(B184="EN","Entry Level",B184="MI","Mid Level",B184="SE","Senior Level",B184="EX","Expert Level")</f>
        <v>Mid Level</v>
      </c>
      <c r="M184" t="str" cm="1">
        <f t="array" ref="M184">_xlfn.IFS(I184=100,"Full Remote",I184=50,"Hybrid",I184=0,"On-Site")</f>
        <v>Hybrid</v>
      </c>
    </row>
    <row r="185" spans="1:13" x14ac:dyDescent="0.2">
      <c r="A185">
        <v>2021</v>
      </c>
      <c r="B185" t="s">
        <v>17</v>
      </c>
      <c r="C185" t="s">
        <v>12</v>
      </c>
      <c r="D185" t="s">
        <v>29</v>
      </c>
      <c r="E185">
        <v>120000</v>
      </c>
      <c r="F185" t="s">
        <v>23</v>
      </c>
      <c r="G185">
        <v>120000</v>
      </c>
      <c r="H185" t="s">
        <v>20</v>
      </c>
      <c r="I185">
        <v>0</v>
      </c>
      <c r="J185" t="s">
        <v>20</v>
      </c>
      <c r="K185" t="s">
        <v>16</v>
      </c>
      <c r="L185" t="str" cm="1">
        <f t="array" ref="L185">_xlfn.IFS(B185="EN","Entry Level",B185="MI","Mid Level",B185="SE","Senior Level",B185="EX","Expert Level")</f>
        <v>Senior Level</v>
      </c>
      <c r="M185" t="str" cm="1">
        <f t="array" ref="M185">_xlfn.IFS(I185=100,"Full Remote",I185=50,"Hybrid",I185=0,"On-Site")</f>
        <v>On-Site</v>
      </c>
    </row>
    <row r="186" spans="1:13" x14ac:dyDescent="0.2">
      <c r="A186">
        <v>2021</v>
      </c>
      <c r="B186" t="s">
        <v>30</v>
      </c>
      <c r="C186" t="s">
        <v>114</v>
      </c>
      <c r="D186" t="s">
        <v>34</v>
      </c>
      <c r="E186">
        <v>20000</v>
      </c>
      <c r="F186" t="s">
        <v>23</v>
      </c>
      <c r="G186">
        <v>20000</v>
      </c>
      <c r="H186" t="s">
        <v>55</v>
      </c>
      <c r="I186">
        <v>0</v>
      </c>
      <c r="J186" t="s">
        <v>20</v>
      </c>
      <c r="K186" t="s">
        <v>16</v>
      </c>
      <c r="L186" t="str" cm="1">
        <f t="array" ref="L186">_xlfn.IFS(B186="EN","Entry Level",B186="MI","Mid Level",B186="SE","Senior Level",B186="EX","Expert Level")</f>
        <v>Mid Level</v>
      </c>
      <c r="M186" t="str" cm="1">
        <f t="array" ref="M186">_xlfn.IFS(I186=100,"Full Remote",I186=50,"Hybrid",I186=0,"On-Site")</f>
        <v>On-Site</v>
      </c>
    </row>
    <row r="187" spans="1:13" x14ac:dyDescent="0.2">
      <c r="A187">
        <v>2020</v>
      </c>
      <c r="B187" t="s">
        <v>21</v>
      </c>
      <c r="C187" t="s">
        <v>12</v>
      </c>
      <c r="D187" t="s">
        <v>54</v>
      </c>
      <c r="E187">
        <v>325000</v>
      </c>
      <c r="F187" t="s">
        <v>23</v>
      </c>
      <c r="G187">
        <v>325000</v>
      </c>
      <c r="H187" t="s">
        <v>20</v>
      </c>
      <c r="I187">
        <v>100</v>
      </c>
      <c r="J187" t="s">
        <v>20</v>
      </c>
      <c r="K187" t="s">
        <v>16</v>
      </c>
      <c r="L187" t="str" cm="1">
        <f t="array" ref="L187">_xlfn.IFS(B187="EN","Entry Level",B187="MI","Mid Level",B187="SE","Senior Level",B187="EX","Expert Level")</f>
        <v>Expert Level</v>
      </c>
      <c r="M187" t="str" cm="1">
        <f t="array" ref="M187">_xlfn.IFS(I187=100,"Full Remote",I187=50,"Hybrid",I187=0,"On-Site")</f>
        <v>Full Remote</v>
      </c>
    </row>
    <row r="188" spans="1:13" x14ac:dyDescent="0.2">
      <c r="A188">
        <v>2021</v>
      </c>
      <c r="B188" t="s">
        <v>17</v>
      </c>
      <c r="C188" t="s">
        <v>12</v>
      </c>
      <c r="D188" t="s">
        <v>27</v>
      </c>
      <c r="E188">
        <v>200000</v>
      </c>
      <c r="F188" t="s">
        <v>23</v>
      </c>
      <c r="G188">
        <v>200000</v>
      </c>
      <c r="H188" t="s">
        <v>20</v>
      </c>
      <c r="I188">
        <v>100</v>
      </c>
      <c r="J188" t="s">
        <v>20</v>
      </c>
      <c r="K188" t="s">
        <v>16</v>
      </c>
      <c r="L188" t="str" cm="1">
        <f t="array" ref="L188">_xlfn.IFS(B188="EN","Entry Level",B188="MI","Mid Level",B188="SE","Senior Level",B188="EX","Expert Level")</f>
        <v>Senior Level</v>
      </c>
      <c r="M188" t="str" cm="1">
        <f t="array" ref="M188">_xlfn.IFS(I188=100,"Full Remote",I188=50,"Hybrid",I188=0,"On-Site")</f>
        <v>Full Remote</v>
      </c>
    </row>
    <row r="189" spans="1:13" x14ac:dyDescent="0.2">
      <c r="A189">
        <v>2020</v>
      </c>
      <c r="B189" t="s">
        <v>11</v>
      </c>
      <c r="C189" t="s">
        <v>12</v>
      </c>
      <c r="D189" t="s">
        <v>44</v>
      </c>
      <c r="E189">
        <v>300000</v>
      </c>
      <c r="F189" t="s">
        <v>109</v>
      </c>
      <c r="G189">
        <v>45896</v>
      </c>
      <c r="H189" t="s">
        <v>67</v>
      </c>
      <c r="I189">
        <v>50</v>
      </c>
      <c r="J189" t="s">
        <v>67</v>
      </c>
      <c r="K189" t="s">
        <v>28</v>
      </c>
      <c r="L189" t="str" cm="1">
        <f t="array" ref="L189">_xlfn.IFS(B189="EN","Entry Level",B189="MI","Mid Level",B189="SE","Senior Level",B189="EX","Expert Level")</f>
        <v>Entry Level</v>
      </c>
      <c r="M189" t="str" cm="1">
        <f t="array" ref="M189">_xlfn.IFS(I189=100,"Full Remote",I189=50,"Hybrid",I189=0,"On-Site")</f>
        <v>Hybrid</v>
      </c>
    </row>
    <row r="190" spans="1:13" x14ac:dyDescent="0.2">
      <c r="A190">
        <v>2021</v>
      </c>
      <c r="B190" t="s">
        <v>30</v>
      </c>
      <c r="C190" t="s">
        <v>12</v>
      </c>
      <c r="D190" t="s">
        <v>18</v>
      </c>
      <c r="E190">
        <v>160000</v>
      </c>
      <c r="F190" t="s">
        <v>23</v>
      </c>
      <c r="G190">
        <v>160000</v>
      </c>
      <c r="H190" t="s">
        <v>20</v>
      </c>
      <c r="I190">
        <v>100</v>
      </c>
      <c r="J190" t="s">
        <v>20</v>
      </c>
      <c r="K190" t="s">
        <v>16</v>
      </c>
      <c r="L190" t="str" cm="1">
        <f t="array" ref="L190">_xlfn.IFS(B190="EN","Entry Level",B190="MI","Mid Level",B190="SE","Senior Level",B190="EX","Expert Level")</f>
        <v>Mid Level</v>
      </c>
      <c r="M190" t="str" cm="1">
        <f t="array" ref="M190">_xlfn.IFS(I190=100,"Full Remote",I190=50,"Hybrid",I190=0,"On-Site")</f>
        <v>Full Remote</v>
      </c>
    </row>
    <row r="191" spans="1:13" x14ac:dyDescent="0.2">
      <c r="A191">
        <v>2021</v>
      </c>
      <c r="B191" t="s">
        <v>17</v>
      </c>
      <c r="C191" t="s">
        <v>12</v>
      </c>
      <c r="D191" t="s">
        <v>31</v>
      </c>
      <c r="E191">
        <v>50000</v>
      </c>
      <c r="F191" t="s">
        <v>23</v>
      </c>
      <c r="G191">
        <v>50000</v>
      </c>
      <c r="H191" t="s">
        <v>33</v>
      </c>
      <c r="I191">
        <v>100</v>
      </c>
      <c r="J191" t="s">
        <v>20</v>
      </c>
      <c r="K191" t="s">
        <v>28</v>
      </c>
      <c r="L191" t="str" cm="1">
        <f t="array" ref="L191">_xlfn.IFS(B191="EN","Entry Level",B191="MI","Mid Level",B191="SE","Senior Level",B191="EX","Expert Level")</f>
        <v>Senior Level</v>
      </c>
      <c r="M191" t="str" cm="1">
        <f t="array" ref="M191">_xlfn.IFS(I191=100,"Full Remote",I191=50,"Hybrid",I191=0,"On-Site")</f>
        <v>Full Remote</v>
      </c>
    </row>
    <row r="192" spans="1:13" x14ac:dyDescent="0.2">
      <c r="A192">
        <v>2021</v>
      </c>
      <c r="B192" t="s">
        <v>30</v>
      </c>
      <c r="C192" t="s">
        <v>12</v>
      </c>
      <c r="D192" t="s">
        <v>36</v>
      </c>
      <c r="E192">
        <v>34000</v>
      </c>
      <c r="F192" t="s">
        <v>14</v>
      </c>
      <c r="G192">
        <v>40529</v>
      </c>
      <c r="H192" t="s">
        <v>19</v>
      </c>
      <c r="I192">
        <v>100</v>
      </c>
      <c r="J192" t="s">
        <v>19</v>
      </c>
      <c r="K192" t="s">
        <v>25</v>
      </c>
      <c r="L192" t="str" cm="1">
        <f t="array" ref="L192">_xlfn.IFS(B192="EN","Entry Level",B192="MI","Mid Level",B192="SE","Senior Level",B192="EX","Expert Level")</f>
        <v>Mid Level</v>
      </c>
      <c r="M192" t="str" cm="1">
        <f t="array" ref="M192">_xlfn.IFS(I192=100,"Full Remote",I192=50,"Hybrid",I192=0,"On-Site")</f>
        <v>Full Remote</v>
      </c>
    </row>
    <row r="193" spans="1:13" x14ac:dyDescent="0.2">
      <c r="A193">
        <v>2021</v>
      </c>
      <c r="B193" t="s">
        <v>21</v>
      </c>
      <c r="C193" t="s">
        <v>12</v>
      </c>
      <c r="D193" t="s">
        <v>115</v>
      </c>
      <c r="E193">
        <v>600000</v>
      </c>
      <c r="F193" t="s">
        <v>23</v>
      </c>
      <c r="G193">
        <v>600000</v>
      </c>
      <c r="H193" t="s">
        <v>20</v>
      </c>
      <c r="I193">
        <v>100</v>
      </c>
      <c r="J193" t="s">
        <v>20</v>
      </c>
      <c r="K193" t="s">
        <v>16</v>
      </c>
      <c r="L193" t="str" cm="1">
        <f t="array" ref="L193">_xlfn.IFS(B193="EN","Entry Level",B193="MI","Mid Level",B193="SE","Senior Level",B193="EX","Expert Level")</f>
        <v>Expert Level</v>
      </c>
      <c r="M193" t="str" cm="1">
        <f t="array" ref="M193">_xlfn.IFS(I193=100,"Full Remote",I193=50,"Hybrid",I193=0,"On-Site")</f>
        <v>Full Remote</v>
      </c>
    </row>
    <row r="194" spans="1:13" x14ac:dyDescent="0.2">
      <c r="A194">
        <v>2021</v>
      </c>
      <c r="B194" t="s">
        <v>30</v>
      </c>
      <c r="C194" t="s">
        <v>12</v>
      </c>
      <c r="D194" t="s">
        <v>18</v>
      </c>
      <c r="E194">
        <v>69600</v>
      </c>
      <c r="F194" t="s">
        <v>116</v>
      </c>
      <c r="G194">
        <v>13000</v>
      </c>
      <c r="H194" t="s">
        <v>77</v>
      </c>
      <c r="I194">
        <v>0</v>
      </c>
      <c r="J194" t="s">
        <v>77</v>
      </c>
      <c r="K194" t="s">
        <v>28</v>
      </c>
      <c r="L194" t="str" cm="1">
        <f t="array" ref="L194">_xlfn.IFS(B194="EN","Entry Level",B194="MI","Mid Level",B194="SE","Senior Level",B194="EX","Expert Level")</f>
        <v>Mid Level</v>
      </c>
      <c r="M194" t="str" cm="1">
        <f t="array" ref="M194">_xlfn.IFS(I194=100,"Full Remote",I194=50,"Hybrid",I194=0,"On-Site")</f>
        <v>On-Site</v>
      </c>
    </row>
    <row r="195" spans="1:13" x14ac:dyDescent="0.2">
      <c r="A195">
        <v>2021</v>
      </c>
      <c r="B195" t="s">
        <v>17</v>
      </c>
      <c r="C195" t="s">
        <v>12</v>
      </c>
      <c r="D195" t="s">
        <v>34</v>
      </c>
      <c r="E195">
        <v>165000</v>
      </c>
      <c r="F195" t="s">
        <v>23</v>
      </c>
      <c r="G195">
        <v>165000</v>
      </c>
      <c r="H195" t="s">
        <v>20</v>
      </c>
      <c r="I195">
        <v>0</v>
      </c>
      <c r="J195" t="s">
        <v>20</v>
      </c>
      <c r="K195" t="s">
        <v>25</v>
      </c>
      <c r="L195" t="str" cm="1">
        <f t="array" ref="L195">_xlfn.IFS(B195="EN","Entry Level",B195="MI","Mid Level",B195="SE","Senior Level",B195="EX","Expert Level")</f>
        <v>Senior Level</v>
      </c>
      <c r="M195" t="str" cm="1">
        <f t="array" ref="M195">_xlfn.IFS(I195=100,"Full Remote",I195=50,"Hybrid",I195=0,"On-Site")</f>
        <v>On-Site</v>
      </c>
    </row>
    <row r="196" spans="1:13" x14ac:dyDescent="0.2">
      <c r="A196">
        <v>2021</v>
      </c>
      <c r="B196" t="s">
        <v>11</v>
      </c>
      <c r="C196" t="s">
        <v>12</v>
      </c>
      <c r="D196" t="s">
        <v>89</v>
      </c>
      <c r="E196">
        <v>435000</v>
      </c>
      <c r="F196" t="s">
        <v>47</v>
      </c>
      <c r="G196">
        <v>5898</v>
      </c>
      <c r="H196" t="s">
        <v>48</v>
      </c>
      <c r="I196">
        <v>0</v>
      </c>
      <c r="J196" t="s">
        <v>117</v>
      </c>
      <c r="K196" t="s">
        <v>16</v>
      </c>
      <c r="L196" t="str" cm="1">
        <f t="array" ref="L196">_xlfn.IFS(B196="EN","Entry Level",B196="MI","Mid Level",B196="SE","Senior Level",B196="EX","Expert Level")</f>
        <v>Entry Level</v>
      </c>
      <c r="M196" t="str" cm="1">
        <f t="array" ref="M196">_xlfn.IFS(I196=100,"Full Remote",I196=50,"Hybrid",I196=0,"On-Site")</f>
        <v>On-Site</v>
      </c>
    </row>
    <row r="197" spans="1:13" x14ac:dyDescent="0.2">
      <c r="A197">
        <v>2020</v>
      </c>
      <c r="B197" t="s">
        <v>30</v>
      </c>
      <c r="C197" t="s">
        <v>12</v>
      </c>
      <c r="D197" t="s">
        <v>18</v>
      </c>
      <c r="E197">
        <v>37000</v>
      </c>
      <c r="F197" t="s">
        <v>14</v>
      </c>
      <c r="G197">
        <v>42197</v>
      </c>
      <c r="H197" t="s">
        <v>33</v>
      </c>
      <c r="I197">
        <v>50</v>
      </c>
      <c r="J197" t="s">
        <v>33</v>
      </c>
      <c r="K197" t="s">
        <v>28</v>
      </c>
      <c r="L197" t="str" cm="1">
        <f t="array" ref="L197">_xlfn.IFS(B197="EN","Entry Level",B197="MI","Mid Level",B197="SE","Senior Level",B197="EX","Expert Level")</f>
        <v>Mid Level</v>
      </c>
      <c r="M197" t="str" cm="1">
        <f t="array" ref="M197">_xlfn.IFS(I197=100,"Full Remote",I197=50,"Hybrid",I197=0,"On-Site")</f>
        <v>Hybrid</v>
      </c>
    </row>
    <row r="198" spans="1:13" x14ac:dyDescent="0.2">
      <c r="A198">
        <v>2021</v>
      </c>
      <c r="B198" t="s">
        <v>17</v>
      </c>
      <c r="C198" t="s">
        <v>12</v>
      </c>
      <c r="D198" t="s">
        <v>115</v>
      </c>
      <c r="E198">
        <v>185000</v>
      </c>
      <c r="F198" t="s">
        <v>23</v>
      </c>
      <c r="G198">
        <v>185000</v>
      </c>
      <c r="H198" t="s">
        <v>20</v>
      </c>
      <c r="I198">
        <v>100</v>
      </c>
      <c r="J198" t="s">
        <v>20</v>
      </c>
      <c r="K198" t="s">
        <v>16</v>
      </c>
      <c r="L198" t="str" cm="1">
        <f t="array" ref="L198">_xlfn.IFS(B198="EN","Entry Level",B198="MI","Mid Level",B198="SE","Senior Level",B198="EX","Expert Level")</f>
        <v>Senior Level</v>
      </c>
      <c r="M198" t="str" cm="1">
        <f t="array" ref="M198">_xlfn.IFS(I198=100,"Full Remote",I198=50,"Hybrid",I198=0,"On-Site")</f>
        <v>Full Remote</v>
      </c>
    </row>
    <row r="199" spans="1:13" x14ac:dyDescent="0.2">
      <c r="A199">
        <v>2020</v>
      </c>
      <c r="B199" t="s">
        <v>11</v>
      </c>
      <c r="C199" t="s">
        <v>12</v>
      </c>
      <c r="D199" t="s">
        <v>18</v>
      </c>
      <c r="E199">
        <v>55000</v>
      </c>
      <c r="F199" t="s">
        <v>14</v>
      </c>
      <c r="G199">
        <v>62726</v>
      </c>
      <c r="H199" t="s">
        <v>15</v>
      </c>
      <c r="I199">
        <v>50</v>
      </c>
      <c r="J199" t="s">
        <v>15</v>
      </c>
      <c r="K199" t="s">
        <v>28</v>
      </c>
      <c r="L199" t="str" cm="1">
        <f t="array" ref="L199">_xlfn.IFS(B199="EN","Entry Level",B199="MI","Mid Level",B199="SE","Senior Level",B199="EX","Expert Level")</f>
        <v>Entry Level</v>
      </c>
      <c r="M199" t="str" cm="1">
        <f t="array" ref="M199">_xlfn.IFS(I199=100,"Full Remote",I199=50,"Hybrid",I199=0,"On-Site")</f>
        <v>Hybrid</v>
      </c>
    </row>
    <row r="200" spans="1:13" x14ac:dyDescent="0.2">
      <c r="A200">
        <v>2020</v>
      </c>
      <c r="B200" t="s">
        <v>11</v>
      </c>
      <c r="C200" t="s">
        <v>43</v>
      </c>
      <c r="D200" t="s">
        <v>18</v>
      </c>
      <c r="E200">
        <v>19000</v>
      </c>
      <c r="F200" t="s">
        <v>14</v>
      </c>
      <c r="G200">
        <v>21669</v>
      </c>
      <c r="H200" t="s">
        <v>55</v>
      </c>
      <c r="I200">
        <v>50</v>
      </c>
      <c r="J200" t="s">
        <v>55</v>
      </c>
      <c r="K200" t="s">
        <v>28</v>
      </c>
      <c r="L200" t="str" cm="1">
        <f t="array" ref="L200">_xlfn.IFS(B200="EN","Entry Level",B200="MI","Mid Level",B200="SE","Senior Level",B200="EX","Expert Level")</f>
        <v>Entry Level</v>
      </c>
      <c r="M200" t="str" cm="1">
        <f t="array" ref="M200">_xlfn.IFS(I200=100,"Full Remote",I200=50,"Hybrid",I200=0,"On-Site")</f>
        <v>Hybrid</v>
      </c>
    </row>
    <row r="201" spans="1:13" x14ac:dyDescent="0.2">
      <c r="A201">
        <v>2020</v>
      </c>
      <c r="B201" t="s">
        <v>30</v>
      </c>
      <c r="C201" t="s">
        <v>12</v>
      </c>
      <c r="D201" t="s">
        <v>34</v>
      </c>
      <c r="E201">
        <v>110000</v>
      </c>
      <c r="F201" t="s">
        <v>23</v>
      </c>
      <c r="G201">
        <v>110000</v>
      </c>
      <c r="H201" t="s">
        <v>20</v>
      </c>
      <c r="I201">
        <v>100</v>
      </c>
      <c r="J201" t="s">
        <v>20</v>
      </c>
      <c r="K201" t="s">
        <v>16</v>
      </c>
      <c r="L201" t="str" cm="1">
        <f t="array" ref="L201">_xlfn.IFS(B201="EN","Entry Level",B201="MI","Mid Level",B201="SE","Senior Level",B201="EX","Expert Level")</f>
        <v>Mid Level</v>
      </c>
      <c r="M201" t="str" cm="1">
        <f t="array" ref="M201">_xlfn.IFS(I201=100,"Full Remote",I201=50,"Hybrid",I201=0,"On-Site")</f>
        <v>Full Remote</v>
      </c>
    </row>
    <row r="202" spans="1:13" x14ac:dyDescent="0.2">
      <c r="A202">
        <v>2021</v>
      </c>
      <c r="B202" t="s">
        <v>17</v>
      </c>
      <c r="C202" t="s">
        <v>12</v>
      </c>
      <c r="D202" t="s">
        <v>29</v>
      </c>
      <c r="E202">
        <v>140000</v>
      </c>
      <c r="F202" t="s">
        <v>23</v>
      </c>
      <c r="G202">
        <v>140000</v>
      </c>
      <c r="H202" t="s">
        <v>20</v>
      </c>
      <c r="I202">
        <v>100</v>
      </c>
      <c r="J202" t="s">
        <v>20</v>
      </c>
      <c r="K202" t="s">
        <v>16</v>
      </c>
      <c r="L202" t="str" cm="1">
        <f t="array" ref="L202">_xlfn.IFS(B202="EN","Entry Level",B202="MI","Mid Level",B202="SE","Senior Level",B202="EX","Expert Level")</f>
        <v>Senior Level</v>
      </c>
      <c r="M202" t="str" cm="1">
        <f t="array" ref="M202">_xlfn.IFS(I202=100,"Full Remote",I202=50,"Hybrid",I202=0,"On-Site")</f>
        <v>Full Remote</v>
      </c>
    </row>
    <row r="203" spans="1:13" x14ac:dyDescent="0.2">
      <c r="A203">
        <v>2020</v>
      </c>
      <c r="B203" t="s">
        <v>17</v>
      </c>
      <c r="C203" t="s">
        <v>12</v>
      </c>
      <c r="D203" t="s">
        <v>18</v>
      </c>
      <c r="E203">
        <v>120000</v>
      </c>
      <c r="F203" t="s">
        <v>23</v>
      </c>
      <c r="G203">
        <v>120000</v>
      </c>
      <c r="H203" t="s">
        <v>20</v>
      </c>
      <c r="I203">
        <v>50</v>
      </c>
      <c r="J203" t="s">
        <v>20</v>
      </c>
      <c r="K203" t="s">
        <v>16</v>
      </c>
      <c r="L203" t="str" cm="1">
        <f t="array" ref="L203">_xlfn.IFS(B203="EN","Entry Level",B203="MI","Mid Level",B203="SE","Senior Level",B203="EX","Expert Level")</f>
        <v>Senior Level</v>
      </c>
      <c r="M203" t="str" cm="1">
        <f t="array" ref="M203">_xlfn.IFS(I203=100,"Full Remote",I203=50,"Hybrid",I203=0,"On-Site")</f>
        <v>Hybrid</v>
      </c>
    </row>
    <row r="204" spans="1:13" x14ac:dyDescent="0.2">
      <c r="A204">
        <v>2021</v>
      </c>
      <c r="B204" t="s">
        <v>17</v>
      </c>
      <c r="C204" t="s">
        <v>12</v>
      </c>
      <c r="D204" t="s">
        <v>18</v>
      </c>
      <c r="E204">
        <v>110000</v>
      </c>
      <c r="F204" t="s">
        <v>37</v>
      </c>
      <c r="G204">
        <v>87961</v>
      </c>
      <c r="H204" t="s">
        <v>38</v>
      </c>
      <c r="I204">
        <v>100</v>
      </c>
      <c r="J204" t="s">
        <v>38</v>
      </c>
      <c r="K204" t="s">
        <v>28</v>
      </c>
      <c r="L204" t="str" cm="1">
        <f t="array" ref="L204">_xlfn.IFS(B204="EN","Entry Level",B204="MI","Mid Level",B204="SE","Senior Level",B204="EX","Expert Level")</f>
        <v>Senior Level</v>
      </c>
      <c r="M204" t="str" cm="1">
        <f t="array" ref="M204">_xlfn.IFS(I204=100,"Full Remote",I204=50,"Hybrid",I204=0,"On-Site")</f>
        <v>Full Remote</v>
      </c>
    </row>
    <row r="205" spans="1:13" x14ac:dyDescent="0.2">
      <c r="A205">
        <v>2021</v>
      </c>
      <c r="B205" t="s">
        <v>17</v>
      </c>
      <c r="C205" t="s">
        <v>12</v>
      </c>
      <c r="D205" t="s">
        <v>118</v>
      </c>
      <c r="E205">
        <v>45000</v>
      </c>
      <c r="F205" t="s">
        <v>59</v>
      </c>
      <c r="G205">
        <v>62250</v>
      </c>
      <c r="H205" t="s">
        <v>52</v>
      </c>
      <c r="I205">
        <v>50</v>
      </c>
      <c r="J205" t="s">
        <v>52</v>
      </c>
      <c r="K205" t="s">
        <v>16</v>
      </c>
      <c r="L205" t="str" cm="1">
        <f t="array" ref="L205">_xlfn.IFS(B205="EN","Entry Level",B205="MI","Mid Level",B205="SE","Senior Level",B205="EX","Expert Level")</f>
        <v>Senior Level</v>
      </c>
      <c r="M205" t="str" cm="1">
        <f t="array" ref="M205">_xlfn.IFS(I205=100,"Full Remote",I205=50,"Hybrid",I205=0,"On-Site")</f>
        <v>Hybrid</v>
      </c>
    </row>
    <row r="206" spans="1:13" x14ac:dyDescent="0.2">
      <c r="A206">
        <v>2021</v>
      </c>
      <c r="B206" t="s">
        <v>30</v>
      </c>
      <c r="C206" t="s">
        <v>114</v>
      </c>
      <c r="D206" t="s">
        <v>64</v>
      </c>
      <c r="E206">
        <v>12000</v>
      </c>
      <c r="F206" t="s">
        <v>23</v>
      </c>
      <c r="G206">
        <v>12000</v>
      </c>
      <c r="H206" t="s">
        <v>45</v>
      </c>
      <c r="I206">
        <v>50</v>
      </c>
      <c r="J206" t="s">
        <v>45</v>
      </c>
      <c r="K206" t="s">
        <v>25</v>
      </c>
      <c r="L206" t="str" cm="1">
        <f t="array" ref="L206">_xlfn.IFS(B206="EN","Entry Level",B206="MI","Mid Level",B206="SE","Senior Level",B206="EX","Expert Level")</f>
        <v>Mid Level</v>
      </c>
      <c r="M206" t="str" cm="1">
        <f t="array" ref="M206">_xlfn.IFS(I206=100,"Full Remote",I206=50,"Hybrid",I206=0,"On-Site")</f>
        <v>Hybrid</v>
      </c>
    </row>
    <row r="207" spans="1:13" x14ac:dyDescent="0.2">
      <c r="A207">
        <v>2021</v>
      </c>
      <c r="B207" t="s">
        <v>17</v>
      </c>
      <c r="C207" t="s">
        <v>12</v>
      </c>
      <c r="D207" t="s">
        <v>34</v>
      </c>
      <c r="E207">
        <v>65000</v>
      </c>
      <c r="F207" t="s">
        <v>14</v>
      </c>
      <c r="G207">
        <v>77481</v>
      </c>
      <c r="H207" t="s">
        <v>102</v>
      </c>
      <c r="I207">
        <v>50</v>
      </c>
      <c r="J207" t="s">
        <v>52</v>
      </c>
      <c r="K207" t="s">
        <v>28</v>
      </c>
      <c r="L207" t="str" cm="1">
        <f t="array" ref="L207">_xlfn.IFS(B207="EN","Entry Level",B207="MI","Mid Level",B207="SE","Senior Level",B207="EX","Expert Level")</f>
        <v>Senior Level</v>
      </c>
      <c r="M207" t="str" cm="1">
        <f t="array" ref="M207">_xlfn.IFS(I207=100,"Full Remote",I207=50,"Hybrid",I207=0,"On-Site")</f>
        <v>Hybrid</v>
      </c>
    </row>
    <row r="208" spans="1:13" x14ac:dyDescent="0.2">
      <c r="A208">
        <v>2021</v>
      </c>
      <c r="B208" t="s">
        <v>30</v>
      </c>
      <c r="C208" t="s">
        <v>12</v>
      </c>
      <c r="D208" t="s">
        <v>27</v>
      </c>
      <c r="E208">
        <v>74000</v>
      </c>
      <c r="F208" t="s">
        <v>23</v>
      </c>
      <c r="G208">
        <v>74000</v>
      </c>
      <c r="H208" t="s">
        <v>87</v>
      </c>
      <c r="I208">
        <v>50</v>
      </c>
      <c r="J208" t="s">
        <v>87</v>
      </c>
      <c r="K208" t="s">
        <v>28</v>
      </c>
      <c r="L208" t="str" cm="1">
        <f t="array" ref="L208">_xlfn.IFS(B208="EN","Entry Level",B208="MI","Mid Level",B208="SE","Senior Level",B208="EX","Expert Level")</f>
        <v>Mid Level</v>
      </c>
      <c r="M208" t="str" cm="1">
        <f t="array" ref="M208">_xlfn.IFS(I208=100,"Full Remote",I208=50,"Hybrid",I208=0,"On-Site")</f>
        <v>Hybrid</v>
      </c>
    </row>
    <row r="209" spans="1:13" x14ac:dyDescent="0.2">
      <c r="A209">
        <v>2021</v>
      </c>
      <c r="B209" t="s">
        <v>17</v>
      </c>
      <c r="C209" t="s">
        <v>12</v>
      </c>
      <c r="D209" t="s">
        <v>95</v>
      </c>
      <c r="E209">
        <v>152000</v>
      </c>
      <c r="F209" t="s">
        <v>23</v>
      </c>
      <c r="G209">
        <v>152000</v>
      </c>
      <c r="H209" t="s">
        <v>20</v>
      </c>
      <c r="I209">
        <v>100</v>
      </c>
      <c r="J209" t="s">
        <v>33</v>
      </c>
      <c r="K209" t="s">
        <v>16</v>
      </c>
      <c r="L209" t="str" cm="1">
        <f t="array" ref="L209">_xlfn.IFS(B209="EN","Entry Level",B209="MI","Mid Level",B209="SE","Senior Level",B209="EX","Expert Level")</f>
        <v>Senior Level</v>
      </c>
      <c r="M209" t="str" cm="1">
        <f t="array" ref="M209">_xlfn.IFS(I209=100,"Full Remote",I209=50,"Hybrid",I209=0,"On-Site")</f>
        <v>Full Remote</v>
      </c>
    </row>
    <row r="210" spans="1:13" x14ac:dyDescent="0.2">
      <c r="A210">
        <v>2021</v>
      </c>
      <c r="B210" t="s">
        <v>30</v>
      </c>
      <c r="C210" t="s">
        <v>12</v>
      </c>
      <c r="D210" t="s">
        <v>89</v>
      </c>
      <c r="E210">
        <v>18000</v>
      </c>
      <c r="F210" t="s">
        <v>23</v>
      </c>
      <c r="G210">
        <v>18000</v>
      </c>
      <c r="H210" t="s">
        <v>119</v>
      </c>
      <c r="I210">
        <v>0</v>
      </c>
      <c r="J210" t="s">
        <v>119</v>
      </c>
      <c r="K210" t="s">
        <v>28</v>
      </c>
      <c r="L210" t="str" cm="1">
        <f t="array" ref="L210">_xlfn.IFS(B210="EN","Entry Level",B210="MI","Mid Level",B210="SE","Senior Level",B210="EX","Expert Level")</f>
        <v>Mid Level</v>
      </c>
      <c r="M210" t="str" cm="1">
        <f t="array" ref="M210">_xlfn.IFS(I210=100,"Full Remote",I210=50,"Hybrid",I210=0,"On-Site")</f>
        <v>On-Site</v>
      </c>
    </row>
    <row r="211" spans="1:13" x14ac:dyDescent="0.2">
      <c r="A211">
        <v>2020</v>
      </c>
      <c r="B211" t="s">
        <v>17</v>
      </c>
      <c r="C211" t="s">
        <v>114</v>
      </c>
      <c r="D211" t="s">
        <v>108</v>
      </c>
      <c r="E211">
        <v>60000</v>
      </c>
      <c r="F211" t="s">
        <v>23</v>
      </c>
      <c r="G211">
        <v>60000</v>
      </c>
      <c r="H211" t="s">
        <v>24</v>
      </c>
      <c r="I211">
        <v>100</v>
      </c>
      <c r="J211" t="s">
        <v>20</v>
      </c>
      <c r="K211" t="s">
        <v>28</v>
      </c>
      <c r="L211" t="str" cm="1">
        <f t="array" ref="L211">_xlfn.IFS(B211="EN","Entry Level",B211="MI","Mid Level",B211="SE","Senior Level",B211="EX","Expert Level")</f>
        <v>Senior Level</v>
      </c>
      <c r="M211" t="str" cm="1">
        <f t="array" ref="M211">_xlfn.IFS(I211=100,"Full Remote",I211=50,"Hybrid",I211=0,"On-Site")</f>
        <v>Full Remote</v>
      </c>
    </row>
    <row r="212" spans="1:13" x14ac:dyDescent="0.2">
      <c r="A212">
        <v>2021</v>
      </c>
      <c r="B212" t="s">
        <v>30</v>
      </c>
      <c r="C212" t="s">
        <v>12</v>
      </c>
      <c r="D212" t="s">
        <v>18</v>
      </c>
      <c r="E212">
        <v>130000</v>
      </c>
      <c r="F212" t="s">
        <v>23</v>
      </c>
      <c r="G212">
        <v>130000</v>
      </c>
      <c r="H212" t="s">
        <v>20</v>
      </c>
      <c r="I212">
        <v>50</v>
      </c>
      <c r="J212" t="s">
        <v>20</v>
      </c>
      <c r="K212" t="s">
        <v>16</v>
      </c>
      <c r="L212" t="str" cm="1">
        <f t="array" ref="L212">_xlfn.IFS(B212="EN","Entry Level",B212="MI","Mid Level",B212="SE","Senior Level",B212="EX","Expert Level")</f>
        <v>Mid Level</v>
      </c>
      <c r="M212" t="str" cm="1">
        <f t="array" ref="M212">_xlfn.IFS(I212=100,"Full Remote",I212=50,"Hybrid",I212=0,"On-Site")</f>
        <v>Hybrid</v>
      </c>
    </row>
    <row r="213" spans="1:13" x14ac:dyDescent="0.2">
      <c r="A213">
        <v>2021</v>
      </c>
      <c r="B213" t="s">
        <v>17</v>
      </c>
      <c r="C213" t="s">
        <v>12</v>
      </c>
      <c r="D213" t="s">
        <v>108</v>
      </c>
      <c r="E213">
        <v>102000</v>
      </c>
      <c r="F213" t="s">
        <v>116</v>
      </c>
      <c r="G213">
        <v>19052</v>
      </c>
      <c r="H213" t="s">
        <v>77</v>
      </c>
      <c r="I213">
        <v>0</v>
      </c>
      <c r="J213" t="s">
        <v>77</v>
      </c>
      <c r="K213" t="s">
        <v>25</v>
      </c>
      <c r="L213" t="str" cm="1">
        <f t="array" ref="L213">_xlfn.IFS(B213="EN","Entry Level",B213="MI","Mid Level",B213="SE","Senior Level",B213="EX","Expert Level")</f>
        <v>Senior Level</v>
      </c>
      <c r="M213" t="str" cm="1">
        <f t="array" ref="M213">_xlfn.IFS(I213=100,"Full Remote",I213=50,"Hybrid",I213=0,"On-Site")</f>
        <v>On-Site</v>
      </c>
    </row>
    <row r="214" spans="1:13" x14ac:dyDescent="0.2">
      <c r="A214">
        <v>2021</v>
      </c>
      <c r="B214" t="s">
        <v>11</v>
      </c>
      <c r="C214" t="s">
        <v>12</v>
      </c>
      <c r="D214" t="s">
        <v>97</v>
      </c>
      <c r="E214">
        <v>50000</v>
      </c>
      <c r="F214" t="s">
        <v>14</v>
      </c>
      <c r="G214">
        <v>59601</v>
      </c>
      <c r="H214" t="s">
        <v>120</v>
      </c>
      <c r="I214">
        <v>100</v>
      </c>
      <c r="J214" t="s">
        <v>120</v>
      </c>
      <c r="K214" t="s">
        <v>16</v>
      </c>
      <c r="L214" t="str" cm="1">
        <f t="array" ref="L214">_xlfn.IFS(B214="EN","Entry Level",B214="MI","Mid Level",B214="SE","Senior Level",B214="EX","Expert Level")</f>
        <v>Entry Level</v>
      </c>
      <c r="M214" t="str" cm="1">
        <f t="array" ref="M214">_xlfn.IFS(I214=100,"Full Remote",I214=50,"Hybrid",I214=0,"On-Site")</f>
        <v>Full Remote</v>
      </c>
    </row>
    <row r="215" spans="1:13" x14ac:dyDescent="0.2">
      <c r="A215">
        <v>2021</v>
      </c>
      <c r="B215" t="s">
        <v>17</v>
      </c>
      <c r="C215" t="s">
        <v>12</v>
      </c>
      <c r="D215" t="s">
        <v>105</v>
      </c>
      <c r="E215">
        <v>147000</v>
      </c>
      <c r="F215" t="s">
        <v>14</v>
      </c>
      <c r="G215">
        <v>175228</v>
      </c>
      <c r="H215" t="s">
        <v>15</v>
      </c>
      <c r="I215">
        <v>100</v>
      </c>
      <c r="J215" t="s">
        <v>15</v>
      </c>
      <c r="K215" t="s">
        <v>25</v>
      </c>
      <c r="L215" t="str" cm="1">
        <f t="array" ref="L215">_xlfn.IFS(B215="EN","Entry Level",B215="MI","Mid Level",B215="SE","Senior Level",B215="EX","Expert Level")</f>
        <v>Senior Level</v>
      </c>
      <c r="M215" t="str" cm="1">
        <f t="array" ref="M215">_xlfn.IFS(I215=100,"Full Remote",I215=50,"Hybrid",I215=0,"On-Site")</f>
        <v>Full Remote</v>
      </c>
    </row>
    <row r="216" spans="1:13" x14ac:dyDescent="0.2">
      <c r="A216">
        <v>2020</v>
      </c>
      <c r="B216" t="s">
        <v>17</v>
      </c>
      <c r="C216" t="s">
        <v>12</v>
      </c>
      <c r="D216" t="s">
        <v>105</v>
      </c>
      <c r="E216">
        <v>130000</v>
      </c>
      <c r="F216" t="s">
        <v>14</v>
      </c>
      <c r="G216">
        <v>148261</v>
      </c>
      <c r="H216" t="s">
        <v>15</v>
      </c>
      <c r="I216">
        <v>100</v>
      </c>
      <c r="J216" t="s">
        <v>15</v>
      </c>
      <c r="K216" t="s">
        <v>25</v>
      </c>
      <c r="L216" t="str" cm="1">
        <f t="array" ref="L216">_xlfn.IFS(B216="EN","Entry Level",B216="MI","Mid Level",B216="SE","Senior Level",B216="EX","Expert Level")</f>
        <v>Senior Level</v>
      </c>
      <c r="M216" t="str" cm="1">
        <f t="array" ref="M216">_xlfn.IFS(I216=100,"Full Remote",I216=50,"Hybrid",I216=0,"On-Site")</f>
        <v>Full Remote</v>
      </c>
    </row>
    <row r="217" spans="1:13" x14ac:dyDescent="0.2">
      <c r="A217">
        <v>2020</v>
      </c>
      <c r="B217" t="s">
        <v>30</v>
      </c>
      <c r="C217" t="s">
        <v>12</v>
      </c>
      <c r="D217" t="s">
        <v>18</v>
      </c>
      <c r="E217">
        <v>34000</v>
      </c>
      <c r="F217" t="s">
        <v>14</v>
      </c>
      <c r="G217">
        <v>38776</v>
      </c>
      <c r="H217" t="s">
        <v>53</v>
      </c>
      <c r="I217">
        <v>100</v>
      </c>
      <c r="J217" t="s">
        <v>53</v>
      </c>
      <c r="K217" t="s">
        <v>25</v>
      </c>
      <c r="L217" t="str" cm="1">
        <f t="array" ref="L217">_xlfn.IFS(B217="EN","Entry Level",B217="MI","Mid Level",B217="SE","Senior Level",B217="EX","Expert Level")</f>
        <v>Mid Level</v>
      </c>
      <c r="M217" t="str" cm="1">
        <f t="array" ref="M217">_xlfn.IFS(I217=100,"Full Remote",I217=50,"Hybrid",I217=0,"On-Site")</f>
        <v>Full Remote</v>
      </c>
    </row>
    <row r="218" spans="1:13" x14ac:dyDescent="0.2">
      <c r="A218">
        <v>2021</v>
      </c>
      <c r="B218" t="s">
        <v>30</v>
      </c>
      <c r="C218" t="s">
        <v>12</v>
      </c>
      <c r="D218" t="s">
        <v>18</v>
      </c>
      <c r="E218">
        <v>39600</v>
      </c>
      <c r="F218" t="s">
        <v>14</v>
      </c>
      <c r="G218">
        <v>47204</v>
      </c>
      <c r="H218" t="s">
        <v>53</v>
      </c>
      <c r="I218">
        <v>100</v>
      </c>
      <c r="J218" t="s">
        <v>53</v>
      </c>
      <c r="K218" t="s">
        <v>25</v>
      </c>
      <c r="L218" t="str" cm="1">
        <f t="array" ref="L218">_xlfn.IFS(B218="EN","Entry Level",B218="MI","Mid Level",B218="SE","Senior Level",B218="EX","Expert Level")</f>
        <v>Mid Level</v>
      </c>
      <c r="M218" t="str" cm="1">
        <f t="array" ref="M218">_xlfn.IFS(I218=100,"Full Remote",I218=50,"Hybrid",I218=0,"On-Site")</f>
        <v>Full Remote</v>
      </c>
    </row>
    <row r="219" spans="1:13" x14ac:dyDescent="0.2">
      <c r="A219">
        <v>2021</v>
      </c>
      <c r="B219" t="s">
        <v>11</v>
      </c>
      <c r="C219" t="s">
        <v>12</v>
      </c>
      <c r="D219" t="s">
        <v>18</v>
      </c>
      <c r="E219">
        <v>4000</v>
      </c>
      <c r="F219" t="s">
        <v>23</v>
      </c>
      <c r="G219">
        <v>4000</v>
      </c>
      <c r="H219" t="s">
        <v>100</v>
      </c>
      <c r="I219">
        <v>0</v>
      </c>
      <c r="J219" t="s">
        <v>100</v>
      </c>
      <c r="K219" t="s">
        <v>25</v>
      </c>
      <c r="L219" t="str" cm="1">
        <f t="array" ref="L219">_xlfn.IFS(B219="EN","Entry Level",B219="MI","Mid Level",B219="SE","Senior Level",B219="EX","Expert Level")</f>
        <v>Entry Level</v>
      </c>
      <c r="M219" t="str" cm="1">
        <f t="array" ref="M219">_xlfn.IFS(I219=100,"Full Remote",I219=50,"Hybrid",I219=0,"On-Site")</f>
        <v>On-Site</v>
      </c>
    </row>
    <row r="220" spans="1:13" x14ac:dyDescent="0.2">
      <c r="A220">
        <v>2021</v>
      </c>
      <c r="B220" t="s">
        <v>11</v>
      </c>
      <c r="C220" t="s">
        <v>12</v>
      </c>
      <c r="D220" t="s">
        <v>44</v>
      </c>
      <c r="E220">
        <v>1335000</v>
      </c>
      <c r="F220" t="s">
        <v>47</v>
      </c>
      <c r="G220">
        <v>18102</v>
      </c>
      <c r="H220" t="s">
        <v>48</v>
      </c>
      <c r="I220">
        <v>100</v>
      </c>
      <c r="J220" t="s">
        <v>121</v>
      </c>
      <c r="K220" t="s">
        <v>28</v>
      </c>
      <c r="L220" t="str" cm="1">
        <f t="array" ref="L220">_xlfn.IFS(B220="EN","Entry Level",B220="MI","Mid Level",B220="SE","Senior Level",B220="EX","Expert Level")</f>
        <v>Entry Level</v>
      </c>
      <c r="M220" t="str" cm="1">
        <f t="array" ref="M220">_xlfn.IFS(I220=100,"Full Remote",I220=50,"Hybrid",I220=0,"On-Site")</f>
        <v>Full Remote</v>
      </c>
    </row>
    <row r="221" spans="1:13" x14ac:dyDescent="0.2">
      <c r="A221">
        <v>2020</v>
      </c>
      <c r="B221" t="s">
        <v>17</v>
      </c>
      <c r="C221" t="s">
        <v>12</v>
      </c>
      <c r="D221" t="s">
        <v>18</v>
      </c>
      <c r="E221">
        <v>80000</v>
      </c>
      <c r="F221" t="s">
        <v>14</v>
      </c>
      <c r="G221">
        <v>91237</v>
      </c>
      <c r="H221" t="s">
        <v>35</v>
      </c>
      <c r="I221">
        <v>0</v>
      </c>
      <c r="J221" t="s">
        <v>35</v>
      </c>
      <c r="K221" t="s">
        <v>28</v>
      </c>
      <c r="L221" t="str" cm="1">
        <f t="array" ref="L221">_xlfn.IFS(B221="EN","Entry Level",B221="MI","Mid Level",B221="SE","Senior Level",B221="EX","Expert Level")</f>
        <v>Senior Level</v>
      </c>
      <c r="M221" t="str" cm="1">
        <f t="array" ref="M221">_xlfn.IFS(I221=100,"Full Remote",I221=50,"Hybrid",I221=0,"On-Site")</f>
        <v>On-Site</v>
      </c>
    </row>
    <row r="222" spans="1:13" x14ac:dyDescent="0.2">
      <c r="A222">
        <v>2020</v>
      </c>
      <c r="B222" t="s">
        <v>30</v>
      </c>
      <c r="C222" t="s">
        <v>12</v>
      </c>
      <c r="D222" t="s">
        <v>18</v>
      </c>
      <c r="E222">
        <v>55000</v>
      </c>
      <c r="F222" t="s">
        <v>14</v>
      </c>
      <c r="G222">
        <v>62726</v>
      </c>
      <c r="H222" t="s">
        <v>33</v>
      </c>
      <c r="I222">
        <v>50</v>
      </c>
      <c r="J222" t="s">
        <v>120</v>
      </c>
      <c r="K222" t="s">
        <v>28</v>
      </c>
      <c r="L222" t="str" cm="1">
        <f t="array" ref="L222">_xlfn.IFS(B222="EN","Entry Level",B222="MI","Mid Level",B222="SE","Senior Level",B222="EX","Expert Level")</f>
        <v>Mid Level</v>
      </c>
      <c r="M222" t="str" cm="1">
        <f t="array" ref="M222">_xlfn.IFS(I222=100,"Full Remote",I222=50,"Hybrid",I222=0,"On-Site")</f>
        <v>Hybrid</v>
      </c>
    </row>
    <row r="223" spans="1:13" x14ac:dyDescent="0.2">
      <c r="A223">
        <v>2021</v>
      </c>
      <c r="B223" t="s">
        <v>30</v>
      </c>
      <c r="C223" t="s">
        <v>12</v>
      </c>
      <c r="D223" t="s">
        <v>18</v>
      </c>
      <c r="E223">
        <v>115000</v>
      </c>
      <c r="F223" t="s">
        <v>23</v>
      </c>
      <c r="G223">
        <v>115000</v>
      </c>
      <c r="H223" t="s">
        <v>20</v>
      </c>
      <c r="I223">
        <v>50</v>
      </c>
      <c r="J223" t="s">
        <v>20</v>
      </c>
      <c r="K223" t="s">
        <v>16</v>
      </c>
      <c r="L223" t="str" cm="1">
        <f t="array" ref="L223">_xlfn.IFS(B223="EN","Entry Level",B223="MI","Mid Level",B223="SE","Senior Level",B223="EX","Expert Level")</f>
        <v>Mid Level</v>
      </c>
      <c r="M223" t="str" cm="1">
        <f t="array" ref="M223">_xlfn.IFS(I223=100,"Full Remote",I223=50,"Hybrid",I223=0,"On-Site")</f>
        <v>Hybrid</v>
      </c>
    </row>
    <row r="224" spans="1:13" x14ac:dyDescent="0.2">
      <c r="A224">
        <v>2021</v>
      </c>
      <c r="B224" t="s">
        <v>17</v>
      </c>
      <c r="C224" t="s">
        <v>12</v>
      </c>
      <c r="D224" t="s">
        <v>105</v>
      </c>
      <c r="E224">
        <v>235000</v>
      </c>
      <c r="F224" t="s">
        <v>23</v>
      </c>
      <c r="G224">
        <v>235000</v>
      </c>
      <c r="H224" t="s">
        <v>20</v>
      </c>
      <c r="I224">
        <v>100</v>
      </c>
      <c r="J224" t="s">
        <v>20</v>
      </c>
      <c r="K224" t="s">
        <v>16</v>
      </c>
      <c r="L224" t="str" cm="1">
        <f t="array" ref="L224">_xlfn.IFS(B224="EN","Entry Level",B224="MI","Mid Level",B224="SE","Senior Level",B224="EX","Expert Level")</f>
        <v>Senior Level</v>
      </c>
      <c r="M224" t="str" cm="1">
        <f t="array" ref="M224">_xlfn.IFS(I224=100,"Full Remote",I224=50,"Hybrid",I224=0,"On-Site")</f>
        <v>Full Remote</v>
      </c>
    </row>
    <row r="225" spans="1:13" x14ac:dyDescent="0.2">
      <c r="A225">
        <v>2021</v>
      </c>
      <c r="B225" t="s">
        <v>30</v>
      </c>
      <c r="C225" t="s">
        <v>12</v>
      </c>
      <c r="D225" t="s">
        <v>61</v>
      </c>
      <c r="E225">
        <v>1450000</v>
      </c>
      <c r="F225" t="s">
        <v>47</v>
      </c>
      <c r="G225">
        <v>19661</v>
      </c>
      <c r="H225" t="s">
        <v>48</v>
      </c>
      <c r="I225">
        <v>100</v>
      </c>
      <c r="J225" t="s">
        <v>48</v>
      </c>
      <c r="K225" t="s">
        <v>16</v>
      </c>
      <c r="L225" t="str" cm="1">
        <f t="array" ref="L225">_xlfn.IFS(B225="EN","Entry Level",B225="MI","Mid Level",B225="SE","Senior Level",B225="EX","Expert Level")</f>
        <v>Mid Level</v>
      </c>
      <c r="M225" t="str" cm="1">
        <f t="array" ref="M225">_xlfn.IFS(I225=100,"Full Remote",I225=50,"Hybrid",I225=0,"On-Site")</f>
        <v>Full Remote</v>
      </c>
    </row>
    <row r="226" spans="1:13" x14ac:dyDescent="0.2">
      <c r="A226">
        <v>2021</v>
      </c>
      <c r="B226" t="s">
        <v>11</v>
      </c>
      <c r="C226" t="s">
        <v>43</v>
      </c>
      <c r="D226" t="s">
        <v>44</v>
      </c>
      <c r="E226">
        <v>12000</v>
      </c>
      <c r="F226" t="s">
        <v>23</v>
      </c>
      <c r="G226">
        <v>12000</v>
      </c>
      <c r="H226" t="s">
        <v>77</v>
      </c>
      <c r="I226">
        <v>100</v>
      </c>
      <c r="J226" t="s">
        <v>20</v>
      </c>
      <c r="K226" t="s">
        <v>28</v>
      </c>
      <c r="L226" t="str" cm="1">
        <f t="array" ref="L226">_xlfn.IFS(B226="EN","Entry Level",B226="MI","Mid Level",B226="SE","Senior Level",B226="EX","Expert Level")</f>
        <v>Entry Level</v>
      </c>
      <c r="M226" t="str" cm="1">
        <f t="array" ref="M226">_xlfn.IFS(I226=100,"Full Remote",I226=50,"Hybrid",I226=0,"On-Site")</f>
        <v>Full Remote</v>
      </c>
    </row>
    <row r="227" spans="1:13" x14ac:dyDescent="0.2">
      <c r="A227">
        <v>2021</v>
      </c>
      <c r="B227" t="s">
        <v>30</v>
      </c>
      <c r="C227" t="s">
        <v>12</v>
      </c>
      <c r="D227" t="s">
        <v>32</v>
      </c>
      <c r="E227">
        <v>75000</v>
      </c>
      <c r="F227" t="s">
        <v>23</v>
      </c>
      <c r="G227">
        <v>75000</v>
      </c>
      <c r="H227" t="s">
        <v>20</v>
      </c>
      <c r="I227">
        <v>0</v>
      </c>
      <c r="J227" t="s">
        <v>20</v>
      </c>
      <c r="K227" t="s">
        <v>16</v>
      </c>
      <c r="L227" t="str" cm="1">
        <f t="array" ref="L227">_xlfn.IFS(B227="EN","Entry Level",B227="MI","Mid Level",B227="SE","Senior Level",B227="EX","Expert Level")</f>
        <v>Mid Level</v>
      </c>
      <c r="M227" t="str" cm="1">
        <f t="array" ref="M227">_xlfn.IFS(I227=100,"Full Remote",I227=50,"Hybrid",I227=0,"On-Site")</f>
        <v>On-Site</v>
      </c>
    </row>
    <row r="228" spans="1:13" x14ac:dyDescent="0.2">
      <c r="A228">
        <v>2021</v>
      </c>
      <c r="B228" t="s">
        <v>30</v>
      </c>
      <c r="C228" t="s">
        <v>12</v>
      </c>
      <c r="D228" t="s">
        <v>32</v>
      </c>
      <c r="E228">
        <v>62000</v>
      </c>
      <c r="F228" t="s">
        <v>23</v>
      </c>
      <c r="G228">
        <v>62000</v>
      </c>
      <c r="H228" t="s">
        <v>20</v>
      </c>
      <c r="I228">
        <v>0</v>
      </c>
      <c r="J228" t="s">
        <v>20</v>
      </c>
      <c r="K228" t="s">
        <v>16</v>
      </c>
      <c r="L228" t="str" cm="1">
        <f t="array" ref="L228">_xlfn.IFS(B228="EN","Entry Level",B228="MI","Mid Level",B228="SE","Senior Level",B228="EX","Expert Level")</f>
        <v>Mid Level</v>
      </c>
      <c r="M228" t="str" cm="1">
        <f t="array" ref="M228">_xlfn.IFS(I228=100,"Full Remote",I228=50,"Hybrid",I228=0,"On-Site")</f>
        <v>On-Site</v>
      </c>
    </row>
    <row r="229" spans="1:13" x14ac:dyDescent="0.2">
      <c r="A229">
        <v>2021</v>
      </c>
      <c r="B229" t="s">
        <v>30</v>
      </c>
      <c r="C229" t="s">
        <v>12</v>
      </c>
      <c r="D229" t="s">
        <v>18</v>
      </c>
      <c r="E229">
        <v>73000</v>
      </c>
      <c r="F229" t="s">
        <v>23</v>
      </c>
      <c r="G229">
        <v>73000</v>
      </c>
      <c r="H229" t="s">
        <v>20</v>
      </c>
      <c r="I229">
        <v>0</v>
      </c>
      <c r="J229" t="s">
        <v>20</v>
      </c>
      <c r="K229" t="s">
        <v>16</v>
      </c>
      <c r="L229" t="str" cm="1">
        <f t="array" ref="L229">_xlfn.IFS(B229="EN","Entry Level",B229="MI","Mid Level",B229="SE","Senior Level",B229="EX","Expert Level")</f>
        <v>Mid Level</v>
      </c>
      <c r="M229" t="str" cm="1">
        <f t="array" ref="M229">_xlfn.IFS(I229=100,"Full Remote",I229=50,"Hybrid",I229=0,"On-Site")</f>
        <v>On-Site</v>
      </c>
    </row>
    <row r="230" spans="1:13" x14ac:dyDescent="0.2">
      <c r="A230">
        <v>2021</v>
      </c>
      <c r="B230" t="s">
        <v>30</v>
      </c>
      <c r="C230" t="s">
        <v>12</v>
      </c>
      <c r="D230" t="s">
        <v>34</v>
      </c>
      <c r="E230">
        <v>38400</v>
      </c>
      <c r="F230" t="s">
        <v>14</v>
      </c>
      <c r="G230">
        <v>45773</v>
      </c>
      <c r="H230" t="s">
        <v>84</v>
      </c>
      <c r="I230">
        <v>100</v>
      </c>
      <c r="J230" t="s">
        <v>84</v>
      </c>
      <c r="K230" t="s">
        <v>16</v>
      </c>
      <c r="L230" t="str" cm="1">
        <f t="array" ref="L230">_xlfn.IFS(B230="EN","Entry Level",B230="MI","Mid Level",B230="SE","Senior Level",B230="EX","Expert Level")</f>
        <v>Mid Level</v>
      </c>
      <c r="M230" t="str" cm="1">
        <f t="array" ref="M230">_xlfn.IFS(I230=100,"Full Remote",I230=50,"Hybrid",I230=0,"On-Site")</f>
        <v>Full Remote</v>
      </c>
    </row>
    <row r="231" spans="1:13" x14ac:dyDescent="0.2">
      <c r="A231">
        <v>2020</v>
      </c>
      <c r="B231" t="s">
        <v>17</v>
      </c>
      <c r="C231" t="s">
        <v>12</v>
      </c>
      <c r="D231" t="s">
        <v>95</v>
      </c>
      <c r="E231">
        <v>190200</v>
      </c>
      <c r="F231" t="s">
        <v>23</v>
      </c>
      <c r="G231">
        <v>190200</v>
      </c>
      <c r="H231" t="s">
        <v>20</v>
      </c>
      <c r="I231">
        <v>100</v>
      </c>
      <c r="J231" t="s">
        <v>20</v>
      </c>
      <c r="K231" t="s">
        <v>25</v>
      </c>
      <c r="L231" t="str" cm="1">
        <f t="array" ref="L231">_xlfn.IFS(B231="EN","Entry Level",B231="MI","Mid Level",B231="SE","Senior Level",B231="EX","Expert Level")</f>
        <v>Senior Level</v>
      </c>
      <c r="M231" t="str" cm="1">
        <f t="array" ref="M231">_xlfn.IFS(I231=100,"Full Remote",I231=50,"Hybrid",I231=0,"On-Site")</f>
        <v>Full Remote</v>
      </c>
    </row>
    <row r="232" spans="1:13" x14ac:dyDescent="0.2">
      <c r="A232">
        <v>2020</v>
      </c>
      <c r="B232" t="s">
        <v>30</v>
      </c>
      <c r="C232" t="s">
        <v>12</v>
      </c>
      <c r="D232" t="s">
        <v>18</v>
      </c>
      <c r="E232">
        <v>118000</v>
      </c>
      <c r="F232" t="s">
        <v>23</v>
      </c>
      <c r="G232">
        <v>118000</v>
      </c>
      <c r="H232" t="s">
        <v>20</v>
      </c>
      <c r="I232">
        <v>100</v>
      </c>
      <c r="J232" t="s">
        <v>20</v>
      </c>
      <c r="K232" t="s">
        <v>25</v>
      </c>
      <c r="L232" t="str" cm="1">
        <f t="array" ref="L232">_xlfn.IFS(B232="EN","Entry Level",B232="MI","Mid Level",B232="SE","Senior Level",B232="EX","Expert Level")</f>
        <v>Mid Level</v>
      </c>
      <c r="M232" t="str" cm="1">
        <f t="array" ref="M232">_xlfn.IFS(I232=100,"Full Remote",I232=50,"Hybrid",I232=0,"On-Site")</f>
        <v>Full Remote</v>
      </c>
    </row>
    <row r="233" spans="1:13" x14ac:dyDescent="0.2">
      <c r="A233">
        <v>2020</v>
      </c>
      <c r="B233" t="s">
        <v>30</v>
      </c>
      <c r="C233" t="s">
        <v>12</v>
      </c>
      <c r="D233" t="s">
        <v>18</v>
      </c>
      <c r="E233">
        <v>138350</v>
      </c>
      <c r="F233" t="s">
        <v>23</v>
      </c>
      <c r="G233">
        <v>138350</v>
      </c>
      <c r="H233" t="s">
        <v>20</v>
      </c>
      <c r="I233">
        <v>100</v>
      </c>
      <c r="J233" t="s">
        <v>20</v>
      </c>
      <c r="K233" t="s">
        <v>25</v>
      </c>
      <c r="L233" t="str" cm="1">
        <f t="array" ref="L233">_xlfn.IFS(B233="EN","Entry Level",B233="MI","Mid Level",B233="SE","Senior Level",B233="EX","Expert Level")</f>
        <v>Mid Level</v>
      </c>
      <c r="M233" t="str" cm="1">
        <f t="array" ref="M233">_xlfn.IFS(I233=100,"Full Remote",I233=50,"Hybrid",I233=0,"On-Site")</f>
        <v>Full Remote</v>
      </c>
    </row>
    <row r="234" spans="1:13" x14ac:dyDescent="0.2">
      <c r="A234">
        <v>2020</v>
      </c>
      <c r="B234" t="s">
        <v>30</v>
      </c>
      <c r="C234" t="s">
        <v>12</v>
      </c>
      <c r="D234" t="s">
        <v>34</v>
      </c>
      <c r="E234">
        <v>130800</v>
      </c>
      <c r="F234" t="s">
        <v>23</v>
      </c>
      <c r="G234">
        <v>130800</v>
      </c>
      <c r="H234" t="s">
        <v>53</v>
      </c>
      <c r="I234">
        <v>100</v>
      </c>
      <c r="J234" t="s">
        <v>20</v>
      </c>
      <c r="K234" t="s">
        <v>25</v>
      </c>
      <c r="L234" t="str" cm="1">
        <f t="array" ref="L234">_xlfn.IFS(B234="EN","Entry Level",B234="MI","Mid Level",B234="SE","Senior Level",B234="EX","Expert Level")</f>
        <v>Mid Level</v>
      </c>
      <c r="M234" t="str" cm="1">
        <f t="array" ref="M234">_xlfn.IFS(I234=100,"Full Remote",I234=50,"Hybrid",I234=0,"On-Site")</f>
        <v>Full Remote</v>
      </c>
    </row>
    <row r="235" spans="1:13" x14ac:dyDescent="0.2">
      <c r="A235">
        <v>2020</v>
      </c>
      <c r="B235" t="s">
        <v>17</v>
      </c>
      <c r="C235" t="s">
        <v>12</v>
      </c>
      <c r="D235" t="s">
        <v>27</v>
      </c>
      <c r="E235">
        <v>40000</v>
      </c>
      <c r="F235" t="s">
        <v>14</v>
      </c>
      <c r="G235">
        <v>45618</v>
      </c>
      <c r="H235" t="s">
        <v>122</v>
      </c>
      <c r="I235">
        <v>100</v>
      </c>
      <c r="J235" t="s">
        <v>122</v>
      </c>
      <c r="K235" t="s">
        <v>28</v>
      </c>
      <c r="L235" t="str" cm="1">
        <f t="array" ref="L235">_xlfn.IFS(B235="EN","Entry Level",B235="MI","Mid Level",B235="SE","Senior Level",B235="EX","Expert Level")</f>
        <v>Senior Level</v>
      </c>
      <c r="M235" t="str" cm="1">
        <f t="array" ref="M235">_xlfn.IFS(I235=100,"Full Remote",I235=50,"Hybrid",I235=0,"On-Site")</f>
        <v>Full Remote</v>
      </c>
    </row>
    <row r="236" spans="1:13" x14ac:dyDescent="0.2">
      <c r="A236">
        <v>2021</v>
      </c>
      <c r="B236" t="s">
        <v>17</v>
      </c>
      <c r="C236" t="s">
        <v>12</v>
      </c>
      <c r="D236" t="s">
        <v>54</v>
      </c>
      <c r="E236">
        <v>168000</v>
      </c>
      <c r="F236" t="s">
        <v>23</v>
      </c>
      <c r="G236">
        <v>168000</v>
      </c>
      <c r="H236" t="s">
        <v>87</v>
      </c>
      <c r="I236">
        <v>0</v>
      </c>
      <c r="J236" t="s">
        <v>87</v>
      </c>
      <c r="K236" t="s">
        <v>28</v>
      </c>
      <c r="L236" t="str" cm="1">
        <f t="array" ref="L236">_xlfn.IFS(B236="EN","Entry Level",B236="MI","Mid Level",B236="SE","Senior Level",B236="EX","Expert Level")</f>
        <v>Senior Level</v>
      </c>
      <c r="M236" t="str" cm="1">
        <f t="array" ref="M236">_xlfn.IFS(I236=100,"Full Remote",I236=50,"Hybrid",I236=0,"On-Site")</f>
        <v>On-Site</v>
      </c>
    </row>
    <row r="237" spans="1:13" x14ac:dyDescent="0.2">
      <c r="A237">
        <v>2021</v>
      </c>
      <c r="B237" t="s">
        <v>30</v>
      </c>
      <c r="C237" t="s">
        <v>12</v>
      </c>
      <c r="D237" t="s">
        <v>18</v>
      </c>
      <c r="E237">
        <v>160000</v>
      </c>
      <c r="F237" t="s">
        <v>75</v>
      </c>
      <c r="G237">
        <v>119353</v>
      </c>
      <c r="H237" t="s">
        <v>76</v>
      </c>
      <c r="I237">
        <v>100</v>
      </c>
      <c r="J237" t="s">
        <v>123</v>
      </c>
      <c r="K237" t="s">
        <v>25</v>
      </c>
      <c r="L237" t="str" cm="1">
        <f t="array" ref="L237">_xlfn.IFS(B237="EN","Entry Level",B237="MI","Mid Level",B237="SE","Senior Level",B237="EX","Expert Level")</f>
        <v>Mid Level</v>
      </c>
      <c r="M237" t="str" cm="1">
        <f t="array" ref="M237">_xlfn.IFS(I237=100,"Full Remote",I237=50,"Hybrid",I237=0,"On-Site")</f>
        <v>Full Remote</v>
      </c>
    </row>
    <row r="238" spans="1:13" x14ac:dyDescent="0.2">
      <c r="A238">
        <v>2021</v>
      </c>
      <c r="B238" t="s">
        <v>30</v>
      </c>
      <c r="C238" t="s">
        <v>12</v>
      </c>
      <c r="D238" t="s">
        <v>124</v>
      </c>
      <c r="E238">
        <v>423000</v>
      </c>
      <c r="F238" t="s">
        <v>23</v>
      </c>
      <c r="G238">
        <v>423000</v>
      </c>
      <c r="H238" t="s">
        <v>20</v>
      </c>
      <c r="I238">
        <v>50</v>
      </c>
      <c r="J238" t="s">
        <v>20</v>
      </c>
      <c r="K238" t="s">
        <v>16</v>
      </c>
      <c r="L238" t="str" cm="1">
        <f t="array" ref="L238">_xlfn.IFS(B238="EN","Entry Level",B238="MI","Mid Level",B238="SE","Senior Level",B238="EX","Expert Level")</f>
        <v>Mid Level</v>
      </c>
      <c r="M238" t="str" cm="1">
        <f t="array" ref="M238">_xlfn.IFS(I238=100,"Full Remote",I238=50,"Hybrid",I238=0,"On-Site")</f>
        <v>Hybrid</v>
      </c>
    </row>
    <row r="239" spans="1:13" x14ac:dyDescent="0.2">
      <c r="A239">
        <v>2021</v>
      </c>
      <c r="B239" t="s">
        <v>30</v>
      </c>
      <c r="C239" t="s">
        <v>12</v>
      </c>
      <c r="D239" t="s">
        <v>34</v>
      </c>
      <c r="E239">
        <v>24000</v>
      </c>
      <c r="F239" t="s">
        <v>14</v>
      </c>
      <c r="G239">
        <v>28608</v>
      </c>
      <c r="H239" t="s">
        <v>125</v>
      </c>
      <c r="I239">
        <v>50</v>
      </c>
      <c r="J239" t="s">
        <v>125</v>
      </c>
      <c r="K239" t="s">
        <v>16</v>
      </c>
      <c r="L239" t="str" cm="1">
        <f t="array" ref="L239">_xlfn.IFS(B239="EN","Entry Level",B239="MI","Mid Level",B239="SE","Senior Level",B239="EX","Expert Level")</f>
        <v>Mid Level</v>
      </c>
      <c r="M239" t="str" cm="1">
        <f t="array" ref="M239">_xlfn.IFS(I239=100,"Full Remote",I239=50,"Hybrid",I239=0,"On-Site")</f>
        <v>Hybrid</v>
      </c>
    </row>
    <row r="240" spans="1:13" x14ac:dyDescent="0.2">
      <c r="A240">
        <v>2021</v>
      </c>
      <c r="B240" t="s">
        <v>17</v>
      </c>
      <c r="C240" t="s">
        <v>12</v>
      </c>
      <c r="D240" t="s">
        <v>126</v>
      </c>
      <c r="E240">
        <v>165000</v>
      </c>
      <c r="F240" t="s">
        <v>23</v>
      </c>
      <c r="G240">
        <v>165000</v>
      </c>
      <c r="H240" t="s">
        <v>20</v>
      </c>
      <c r="I240">
        <v>100</v>
      </c>
      <c r="J240" t="s">
        <v>20</v>
      </c>
      <c r="K240" t="s">
        <v>16</v>
      </c>
      <c r="L240" t="str" cm="1">
        <f t="array" ref="L240">_xlfn.IFS(B240="EN","Entry Level",B240="MI","Mid Level",B240="SE","Senior Level",B240="EX","Expert Level")</f>
        <v>Senior Level</v>
      </c>
      <c r="M240" t="str" cm="1">
        <f t="array" ref="M240">_xlfn.IFS(I240=100,"Full Remote",I240=50,"Hybrid",I240=0,"On-Site")</f>
        <v>Full Remote</v>
      </c>
    </row>
    <row r="241" spans="1:13" x14ac:dyDescent="0.2">
      <c r="A241">
        <v>2020</v>
      </c>
      <c r="B241" t="s">
        <v>17</v>
      </c>
      <c r="C241" t="s">
        <v>12</v>
      </c>
      <c r="D241" t="s">
        <v>18</v>
      </c>
      <c r="E241">
        <v>412000</v>
      </c>
      <c r="F241" t="s">
        <v>23</v>
      </c>
      <c r="G241">
        <v>412000</v>
      </c>
      <c r="H241" t="s">
        <v>20</v>
      </c>
      <c r="I241">
        <v>100</v>
      </c>
      <c r="J241" t="s">
        <v>20</v>
      </c>
      <c r="K241" t="s">
        <v>16</v>
      </c>
      <c r="L241" t="str" cm="1">
        <f t="array" ref="L241">_xlfn.IFS(B241="EN","Entry Level",B241="MI","Mid Level",B241="SE","Senior Level",B241="EX","Expert Level")</f>
        <v>Senior Level</v>
      </c>
      <c r="M241" t="str" cm="1">
        <f t="array" ref="M241">_xlfn.IFS(I241=100,"Full Remote",I241=50,"Hybrid",I241=0,"On-Site")</f>
        <v>Full Remote</v>
      </c>
    </row>
    <row r="242" spans="1:13" x14ac:dyDescent="0.2">
      <c r="A242">
        <v>2021</v>
      </c>
      <c r="B242" t="s">
        <v>30</v>
      </c>
      <c r="C242" t="s">
        <v>12</v>
      </c>
      <c r="D242" t="s">
        <v>105</v>
      </c>
      <c r="E242">
        <v>151000</v>
      </c>
      <c r="F242" t="s">
        <v>23</v>
      </c>
      <c r="G242">
        <v>151000</v>
      </c>
      <c r="H242" t="s">
        <v>20</v>
      </c>
      <c r="I242">
        <v>100</v>
      </c>
      <c r="J242" t="s">
        <v>20</v>
      </c>
      <c r="K242" t="s">
        <v>16</v>
      </c>
      <c r="L242" t="str" cm="1">
        <f t="array" ref="L242">_xlfn.IFS(B242="EN","Entry Level",B242="MI","Mid Level",B242="SE","Senior Level",B242="EX","Expert Level")</f>
        <v>Mid Level</v>
      </c>
      <c r="M242" t="str" cm="1">
        <f t="array" ref="M242">_xlfn.IFS(I242=100,"Full Remote",I242=50,"Hybrid",I242=0,"On-Site")</f>
        <v>Full Remote</v>
      </c>
    </row>
    <row r="243" spans="1:13" x14ac:dyDescent="0.2">
      <c r="A243">
        <v>2020</v>
      </c>
      <c r="B243" t="s">
        <v>11</v>
      </c>
      <c r="C243" t="s">
        <v>12</v>
      </c>
      <c r="D243" t="s">
        <v>18</v>
      </c>
      <c r="E243">
        <v>105000</v>
      </c>
      <c r="F243" t="s">
        <v>23</v>
      </c>
      <c r="G243">
        <v>105000</v>
      </c>
      <c r="H243" t="s">
        <v>20</v>
      </c>
      <c r="I243">
        <v>100</v>
      </c>
      <c r="J243" t="s">
        <v>20</v>
      </c>
      <c r="K243" t="s">
        <v>28</v>
      </c>
      <c r="L243" t="str" cm="1">
        <f t="array" ref="L243">_xlfn.IFS(B243="EN","Entry Level",B243="MI","Mid Level",B243="SE","Senior Level",B243="EX","Expert Level")</f>
        <v>Entry Level</v>
      </c>
      <c r="M243" t="str" cm="1">
        <f t="array" ref="M243">_xlfn.IFS(I243=100,"Full Remote",I243=50,"Hybrid",I243=0,"On-Site")</f>
        <v>Full Remote</v>
      </c>
    </row>
    <row r="244" spans="1:13" x14ac:dyDescent="0.2">
      <c r="A244">
        <v>2020</v>
      </c>
      <c r="B244" t="s">
        <v>11</v>
      </c>
      <c r="C244" t="s">
        <v>49</v>
      </c>
      <c r="D244" t="s">
        <v>97</v>
      </c>
      <c r="E244">
        <v>100000</v>
      </c>
      <c r="F244" t="s">
        <v>23</v>
      </c>
      <c r="G244">
        <v>100000</v>
      </c>
      <c r="H244" t="s">
        <v>20</v>
      </c>
      <c r="I244">
        <v>100</v>
      </c>
      <c r="J244" t="s">
        <v>20</v>
      </c>
      <c r="K244" t="s">
        <v>16</v>
      </c>
      <c r="L244" t="str" cm="1">
        <f t="array" ref="L244">_xlfn.IFS(B244="EN","Entry Level",B244="MI","Mid Level",B244="SE","Senior Level",B244="EX","Expert Level")</f>
        <v>Entry Level</v>
      </c>
      <c r="M244" t="str" cm="1">
        <f t="array" ref="M244">_xlfn.IFS(I244=100,"Full Remote",I244=50,"Hybrid",I244=0,"On-Site")</f>
        <v>Full Remote</v>
      </c>
    </row>
    <row r="245" spans="1:13" x14ac:dyDescent="0.2">
      <c r="A245">
        <v>2021</v>
      </c>
      <c r="B245" t="s">
        <v>17</v>
      </c>
      <c r="C245" t="s">
        <v>12</v>
      </c>
      <c r="D245" t="s">
        <v>95</v>
      </c>
      <c r="E245">
        <v>7000000</v>
      </c>
      <c r="F245" t="s">
        <v>47</v>
      </c>
      <c r="G245">
        <v>94917</v>
      </c>
      <c r="H245" t="s">
        <v>48</v>
      </c>
      <c r="I245">
        <v>50</v>
      </c>
      <c r="J245" t="s">
        <v>48</v>
      </c>
      <c r="K245" t="s">
        <v>16</v>
      </c>
      <c r="L245" t="str" cm="1">
        <f t="array" ref="L245">_xlfn.IFS(B245="EN","Entry Level",B245="MI","Mid Level",B245="SE","Senior Level",B245="EX","Expert Level")</f>
        <v>Senior Level</v>
      </c>
      <c r="M245" t="str" cm="1">
        <f t="array" ref="M245">_xlfn.IFS(I245=100,"Full Remote",I245=50,"Hybrid",I245=0,"On-Site")</f>
        <v>Hybrid</v>
      </c>
    </row>
  </sheetData>
  <sheetProtection algorithmName="SHA-512" hashValue="REMBFekHT2YAIhXuqUeDqHKQi7Dq5eYbIQrXQmIisWV6f3Op5pZ6zna5MhuSm4E9ErJMFvRN7pNdmQkesVVy2A==" saltValue="JzudrXLEJH8WmRkYg1rYaQ==" spinCount="100000" sheet="1" objects="1" scenarios="1"/>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867CD-18F5-9940-80FF-4406FC221399}">
  <dimension ref="A4:V55"/>
  <sheetViews>
    <sheetView tabSelected="1" zoomScale="75" zoomScaleNormal="76" zoomScalePageLayoutView="50" workbookViewId="0">
      <selection activeCell="M6" sqref="M6"/>
    </sheetView>
    <sheetView tabSelected="1" zoomScale="93" workbookViewId="1"/>
  </sheetViews>
  <sheetFormatPr baseColWidth="10" defaultRowHeight="16" x14ac:dyDescent="0.2"/>
  <cols>
    <col min="1" max="16384" width="10.83203125" style="8"/>
  </cols>
  <sheetData>
    <row r="4" ht="33" customHeight="1" x14ac:dyDescent="0.2"/>
    <row r="27" spans="1:22" ht="27" customHeight="1" x14ac:dyDescent="0.35">
      <c r="A27" s="11"/>
      <c r="B27" s="13"/>
      <c r="C27" s="10"/>
      <c r="D27" s="10"/>
      <c r="E27" s="10"/>
      <c r="F27" s="10"/>
      <c r="G27" s="10"/>
      <c r="H27" s="10"/>
      <c r="I27" s="10"/>
      <c r="J27" s="10"/>
      <c r="K27" s="10"/>
      <c r="L27" s="10"/>
      <c r="M27" s="10"/>
      <c r="N27" s="12"/>
      <c r="O27" s="12"/>
      <c r="P27" s="12"/>
      <c r="Q27" s="12"/>
      <c r="R27" s="12"/>
      <c r="S27" s="12"/>
      <c r="T27" s="12"/>
      <c r="U27" s="12"/>
      <c r="V27" s="12"/>
    </row>
    <row r="28" spans="1:22" ht="27" customHeight="1" x14ac:dyDescent="0.2">
      <c r="A28" s="10"/>
      <c r="B28" s="10"/>
      <c r="C28" s="10"/>
      <c r="D28" s="10"/>
      <c r="E28" s="10"/>
      <c r="F28" s="10"/>
      <c r="G28" s="10"/>
      <c r="H28" s="10"/>
      <c r="I28" s="10"/>
      <c r="J28" s="10"/>
      <c r="K28" s="10"/>
      <c r="L28" s="10"/>
      <c r="M28" s="10"/>
      <c r="N28" s="12"/>
      <c r="O28" s="12"/>
      <c r="P28" s="12"/>
      <c r="Q28" s="12"/>
      <c r="R28" s="12"/>
      <c r="S28" s="12"/>
      <c r="T28" s="12"/>
      <c r="U28" s="12"/>
      <c r="V28" s="12"/>
    </row>
    <row r="29" spans="1:22" ht="27" customHeight="1" x14ac:dyDescent="0.2">
      <c r="A29" s="10"/>
      <c r="B29" s="10"/>
      <c r="C29" s="10"/>
      <c r="D29" s="10"/>
      <c r="E29" s="10"/>
      <c r="F29" s="10"/>
      <c r="G29" s="10"/>
      <c r="H29" s="10"/>
      <c r="I29" s="10"/>
      <c r="J29" s="10"/>
      <c r="K29" s="10"/>
      <c r="L29" s="10"/>
      <c r="M29" s="10"/>
    </row>
    <row r="30" spans="1:22" ht="27" customHeight="1" x14ac:dyDescent="0.35">
      <c r="B30" s="9"/>
      <c r="C30" s="9"/>
      <c r="D30" s="9"/>
      <c r="E30" s="9"/>
      <c r="F30" s="9"/>
      <c r="G30" s="9"/>
      <c r="H30" s="9"/>
      <c r="I30" s="9"/>
      <c r="J30" s="9"/>
      <c r="K30" s="9"/>
      <c r="L30" s="9"/>
    </row>
    <row r="53" spans="2:22" ht="16" customHeight="1" x14ac:dyDescent="0.3">
      <c r="B53" s="13"/>
      <c r="C53" s="10"/>
      <c r="D53" s="10"/>
      <c r="E53" s="10"/>
      <c r="F53" s="10"/>
      <c r="G53" s="10"/>
      <c r="H53" s="10"/>
      <c r="I53" s="10"/>
      <c r="J53" s="10"/>
      <c r="K53" s="10"/>
      <c r="L53" s="10"/>
      <c r="N53" s="13"/>
      <c r="O53" s="10"/>
      <c r="P53" s="10"/>
      <c r="Q53" s="10"/>
      <c r="R53" s="10"/>
      <c r="S53" s="10"/>
      <c r="T53" s="10"/>
      <c r="U53" s="10"/>
      <c r="V53" s="10"/>
    </row>
    <row r="54" spans="2:22" x14ac:dyDescent="0.2">
      <c r="B54" s="10"/>
      <c r="C54" s="10"/>
      <c r="D54" s="10"/>
      <c r="E54" s="10"/>
      <c r="F54" s="10"/>
      <c r="G54" s="10"/>
      <c r="H54" s="10"/>
      <c r="I54" s="10"/>
      <c r="J54" s="10"/>
      <c r="K54" s="10"/>
      <c r="L54" s="10"/>
      <c r="N54" s="10"/>
      <c r="O54" s="10"/>
      <c r="P54" s="10"/>
      <c r="Q54" s="10"/>
      <c r="R54" s="10"/>
      <c r="S54" s="10"/>
      <c r="T54" s="10"/>
      <c r="U54" s="10"/>
      <c r="V54" s="10"/>
    </row>
    <row r="55" spans="2:22" x14ac:dyDescent="0.2">
      <c r="B55" s="10"/>
      <c r="C55" s="10"/>
      <c r="D55" s="10"/>
      <c r="E55" s="10"/>
      <c r="F55" s="10"/>
      <c r="G55" s="10"/>
      <c r="H55" s="10"/>
      <c r="I55" s="10"/>
      <c r="J55" s="10"/>
      <c r="K55" s="10"/>
      <c r="L55" s="10"/>
      <c r="N55" s="10"/>
      <c r="O55" s="10"/>
      <c r="P55" s="10"/>
      <c r="Q55" s="10"/>
      <c r="R55" s="10"/>
      <c r="S55" s="10"/>
      <c r="T55" s="10"/>
      <c r="U55" s="10"/>
      <c r="V55" s="10"/>
    </row>
  </sheetData>
  <mergeCells count="1">
    <mergeCell ref="N27:V28"/>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Salary_Analysis</vt:lpstr>
      <vt:lpstr>Experience_Analysis</vt:lpstr>
      <vt:lpstr>Location_Analysis</vt:lpstr>
      <vt:lpstr>Remote_Analysis</vt:lpstr>
      <vt:lpstr>Company_Size_Analysis</vt:lpstr>
      <vt:lpstr>Raw_data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2026-02-05T08:09:42Z</dcterms:created>
  <dcterms:modified xsi:type="dcterms:W3CDTF">2026-02-05T11:02:09Z</dcterms:modified>
</cp:coreProperties>
</file>